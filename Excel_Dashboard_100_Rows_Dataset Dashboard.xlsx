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132" yWindow="576" windowWidth="22716" windowHeight="10260" firstSheet="1" activeTab="9"/>
  </bookViews>
  <sheets>
    <sheet name="Sheet1" sheetId="2" r:id="rId1"/>
    <sheet name="Sheet3" sheetId="5" r:id="rId2"/>
    <sheet name="Sheet4" sheetId="6" r:id="rId3"/>
    <sheet name="Sheet5" sheetId="7" r:id="rId4"/>
    <sheet name="Sheet6" sheetId="8" r:id="rId5"/>
    <sheet name="Sheet7" sheetId="9" r:id="rId6"/>
    <sheet name="Sheet8" sheetId="10" r:id="rId7"/>
    <sheet name="Sheet9" sheetId="11" r:id="rId8"/>
    <sheet name="Sales_Data" sheetId="1" r:id="rId9"/>
    <sheet name="Sheet2" sheetId="4" r:id="rId10"/>
  </sheets>
  <definedNames>
    <definedName name="_xlnm._FilterDatabase" localSheetId="8" hidden="1">Sales_Data!$A$1:$N$101</definedName>
  </definedNames>
  <calcPr calcId="0"/>
  <pivotCaches>
    <pivotCache cacheId="13" r:id="rId11"/>
  </pivotCaches>
</workbook>
</file>

<file path=xl/sharedStrings.xml><?xml version="1.0" encoding="utf-8"?>
<sst xmlns="http://schemas.openxmlformats.org/spreadsheetml/2006/main" count="944" uniqueCount="261">
  <si>
    <t>Order_ID</t>
  </si>
  <si>
    <t>Order_Date</t>
  </si>
  <si>
    <t>Customer_Name</t>
  </si>
  <si>
    <t>Segment</t>
  </si>
  <si>
    <t>Region</t>
  </si>
  <si>
    <t>State</t>
  </si>
  <si>
    <t>Category</t>
  </si>
  <si>
    <t>Product</t>
  </si>
  <si>
    <t>Quantity</t>
  </si>
  <si>
    <t>Unit_Price</t>
  </si>
  <si>
    <t>Discount</t>
  </si>
  <si>
    <t>Sales</t>
  </si>
  <si>
    <t>Profit</t>
  </si>
  <si>
    <t>Payment_Method</t>
  </si>
  <si>
    <t>ORD001</t>
  </si>
  <si>
    <t>07-01-2026</t>
  </si>
  <si>
    <t>Meera</t>
  </si>
  <si>
    <t>Consumer</t>
  </si>
  <si>
    <t>North</t>
  </si>
  <si>
    <t>Delhi</t>
  </si>
  <si>
    <t>Office Supplies</t>
  </si>
  <si>
    <t>Printer Paper</t>
  </si>
  <si>
    <t>Net Banking</t>
  </si>
  <si>
    <t>ORD002</t>
  </si>
  <si>
    <t>04-06-2026</t>
  </si>
  <si>
    <t>Rahul</t>
  </si>
  <si>
    <t>West</t>
  </si>
  <si>
    <t>Gujarat</t>
  </si>
  <si>
    <t>Furniture</t>
  </si>
  <si>
    <t>Bookshelf</t>
  </si>
  <si>
    <t>Cash</t>
  </si>
  <si>
    <t>ORD003</t>
  </si>
  <si>
    <t>01-04-2026</t>
  </si>
  <si>
    <t>Arjun</t>
  </si>
  <si>
    <t>Home Office</t>
  </si>
  <si>
    <t>Haryana</t>
  </si>
  <si>
    <t>Technology</t>
  </si>
  <si>
    <t>Keyboard</t>
  </si>
  <si>
    <t>Debit Card</t>
  </si>
  <si>
    <t>ORD004</t>
  </si>
  <si>
    <t>24-02-2026</t>
  </si>
  <si>
    <t>Nikhil</t>
  </si>
  <si>
    <t>Punjab</t>
  </si>
  <si>
    <t>Pen</t>
  </si>
  <si>
    <t>ORD005</t>
  </si>
  <si>
    <t>24-01-2026</t>
  </si>
  <si>
    <t>Vivaan</t>
  </si>
  <si>
    <t>South</t>
  </si>
  <si>
    <t>Kerala</t>
  </si>
  <si>
    <t>Table</t>
  </si>
  <si>
    <t>Credit Card</t>
  </si>
  <si>
    <t>ORD006</t>
  </si>
  <si>
    <t>22-04-2026</t>
  </si>
  <si>
    <t>Ishita</t>
  </si>
  <si>
    <t>Corporate</t>
  </si>
  <si>
    <t>Notebook</t>
  </si>
  <si>
    <t>UPI</t>
  </si>
  <si>
    <t>ORD007</t>
  </si>
  <si>
    <t>20-03-2026</t>
  </si>
  <si>
    <t>Neha</t>
  </si>
  <si>
    <t>East</t>
  </si>
  <si>
    <t>Odisha</t>
  </si>
  <si>
    <t>ORD008</t>
  </si>
  <si>
    <t>13-04-2026</t>
  </si>
  <si>
    <t>Kavya</t>
  </si>
  <si>
    <t>Stapler</t>
  </si>
  <si>
    <t>ORD009</t>
  </si>
  <si>
    <t>19-01-2026</t>
  </si>
  <si>
    <t>Karan</t>
  </si>
  <si>
    <t>Maharashtra</t>
  </si>
  <si>
    <t>Monitor</t>
  </si>
  <si>
    <t>ORD010</t>
  </si>
  <si>
    <t>15-06-2026</t>
  </si>
  <si>
    <t>Riya</t>
  </si>
  <si>
    <t>ORD011</t>
  </si>
  <si>
    <t>West Bengal</t>
  </si>
  <si>
    <t>ORD012</t>
  </si>
  <si>
    <t>15-01-2026</t>
  </si>
  <si>
    <t>Goa</t>
  </si>
  <si>
    <t>Mouse</t>
  </si>
  <si>
    <t>ORD013</t>
  </si>
  <si>
    <t>02-03-2026</t>
  </si>
  <si>
    <t>Amit</t>
  </si>
  <si>
    <t>Uttar Pradesh</t>
  </si>
  <si>
    <t>Laptop</t>
  </si>
  <si>
    <t>ORD014</t>
  </si>
  <si>
    <t>09-06-2026</t>
  </si>
  <si>
    <t>Karnataka</t>
  </si>
  <si>
    <t>ORD015</t>
  </si>
  <si>
    <t>19-06-2026</t>
  </si>
  <si>
    <t>Telangana</t>
  </si>
  <si>
    <t>ORD016</t>
  </si>
  <si>
    <t>12-03-2026</t>
  </si>
  <si>
    <t>ORD017</t>
  </si>
  <si>
    <t>04-04-2026</t>
  </si>
  <si>
    <t>ORD018</t>
  </si>
  <si>
    <t>10-01-2026</t>
  </si>
  <si>
    <t>Pooja</t>
  </si>
  <si>
    <t>ORD019</t>
  </si>
  <si>
    <t>18-05-2026</t>
  </si>
  <si>
    <t>Rohan</t>
  </si>
  <si>
    <t>Rajasthan</t>
  </si>
  <si>
    <t>Desk</t>
  </si>
  <si>
    <t>ORD020</t>
  </si>
  <si>
    <t>Aarav</t>
  </si>
  <si>
    <t>ORD021</t>
  </si>
  <si>
    <t>18-04-2026</t>
  </si>
  <si>
    <t>Office Chair</t>
  </si>
  <si>
    <t>ORD022</t>
  </si>
  <si>
    <t>14-03-2026</t>
  </si>
  <si>
    <t>Jharkhand</t>
  </si>
  <si>
    <t>ORD023</t>
  </si>
  <si>
    <t>09-04-2026</t>
  </si>
  <si>
    <t>ORD024</t>
  </si>
  <si>
    <t>02-06-2026</t>
  </si>
  <si>
    <t>ORD025</t>
  </si>
  <si>
    <t>27-03-2026</t>
  </si>
  <si>
    <t>ORD026</t>
  </si>
  <si>
    <t>30-05-2026</t>
  </si>
  <si>
    <t>Tamil Nadu</t>
  </si>
  <si>
    <t>ORD027</t>
  </si>
  <si>
    <t>14-04-2026</t>
  </si>
  <si>
    <t>ORD028</t>
  </si>
  <si>
    <t>08-04-2026</t>
  </si>
  <si>
    <t>ORD029</t>
  </si>
  <si>
    <t>21-06-2026</t>
  </si>
  <si>
    <t>ORD030</t>
  </si>
  <si>
    <t>19-03-2026</t>
  </si>
  <si>
    <t>Simran</t>
  </si>
  <si>
    <t>ORD031</t>
  </si>
  <si>
    <t>ORD032</t>
  </si>
  <si>
    <t>16-02-2026</t>
  </si>
  <si>
    <t>ORD033</t>
  </si>
  <si>
    <t>05-01-2026</t>
  </si>
  <si>
    <t>Aditya</t>
  </si>
  <si>
    <t>Bihar</t>
  </si>
  <si>
    <t>ORD034</t>
  </si>
  <si>
    <t>22-03-2026</t>
  </si>
  <si>
    <t>ORD035</t>
  </si>
  <si>
    <t>12-01-2026</t>
  </si>
  <si>
    <t>ORD036</t>
  </si>
  <si>
    <t>25-06-2026</t>
  </si>
  <si>
    <t>ORD037</t>
  </si>
  <si>
    <t>26-01-2026</t>
  </si>
  <si>
    <t>ORD038</t>
  </si>
  <si>
    <t>27-04-2026</t>
  </si>
  <si>
    <t>ORD039</t>
  </si>
  <si>
    <t>29-06-2026</t>
  </si>
  <si>
    <t>ORD040</t>
  </si>
  <si>
    <t>14-02-2026</t>
  </si>
  <si>
    <t>ORD041</t>
  </si>
  <si>
    <t>ORD042</t>
  </si>
  <si>
    <t>14-01-2026</t>
  </si>
  <si>
    <t>ORD043</t>
  </si>
  <si>
    <t>30-01-2026</t>
  </si>
  <si>
    <t>Vikram</t>
  </si>
  <si>
    <t>ORD044</t>
  </si>
  <si>
    <t>17-04-2026</t>
  </si>
  <si>
    <t>ORD045</t>
  </si>
  <si>
    <t>01-03-2026</t>
  </si>
  <si>
    <t>Sneha</t>
  </si>
  <si>
    <t>ORD046</t>
  </si>
  <si>
    <t>17-06-2026</t>
  </si>
  <si>
    <t>Ananya</t>
  </si>
  <si>
    <t>ORD047</t>
  </si>
  <si>
    <t>15-03-2026</t>
  </si>
  <si>
    <t>ORD048</t>
  </si>
  <si>
    <t>16-04-2026</t>
  </si>
  <si>
    <t>ORD049</t>
  </si>
  <si>
    <t>23-06-2026</t>
  </si>
  <si>
    <t>ORD050</t>
  </si>
  <si>
    <t>Priya</t>
  </si>
  <si>
    <t>ORD051</t>
  </si>
  <si>
    <t>10-06-2026</t>
  </si>
  <si>
    <t>ORD052</t>
  </si>
  <si>
    <t>04-05-2026</t>
  </si>
  <si>
    <t>ORD053</t>
  </si>
  <si>
    <t>22-06-2026</t>
  </si>
  <si>
    <t>ORD054</t>
  </si>
  <si>
    <t>ORD055</t>
  </si>
  <si>
    <t>24-04-2026</t>
  </si>
  <si>
    <t>ORD056</t>
  </si>
  <si>
    <t>25-05-2026</t>
  </si>
  <si>
    <t>ORD057</t>
  </si>
  <si>
    <t>ORD058</t>
  </si>
  <si>
    <t>ORD059</t>
  </si>
  <si>
    <t>21-05-2026</t>
  </si>
  <si>
    <t>ORD060</t>
  </si>
  <si>
    <t>25-01-2026</t>
  </si>
  <si>
    <t>ORD061</t>
  </si>
  <si>
    <t>01-02-2026</t>
  </si>
  <si>
    <t>ORD062</t>
  </si>
  <si>
    <t>13-03-2026</t>
  </si>
  <si>
    <t>ORD063</t>
  </si>
  <si>
    <t>16-05-2026</t>
  </si>
  <si>
    <t>ORD064</t>
  </si>
  <si>
    <t>19-04-2026</t>
  </si>
  <si>
    <t>ORD065</t>
  </si>
  <si>
    <t>ORD066</t>
  </si>
  <si>
    <t>28-04-2026</t>
  </si>
  <si>
    <t>ORD067</t>
  </si>
  <si>
    <t>ORD068</t>
  </si>
  <si>
    <t>ORD069</t>
  </si>
  <si>
    <t>26-04-2026</t>
  </si>
  <si>
    <t>ORD070</t>
  </si>
  <si>
    <t>29-03-2026</t>
  </si>
  <si>
    <t>ORD071</t>
  </si>
  <si>
    <t>11-06-2026</t>
  </si>
  <si>
    <t>ORD072</t>
  </si>
  <si>
    <t>26-03-2026</t>
  </si>
  <si>
    <t>ORD073</t>
  </si>
  <si>
    <t>19-05-2026</t>
  </si>
  <si>
    <t>ORD074</t>
  </si>
  <si>
    <t>03-03-2026</t>
  </si>
  <si>
    <t>ORD075</t>
  </si>
  <si>
    <t>13-05-2026</t>
  </si>
  <si>
    <t>ORD076</t>
  </si>
  <si>
    <t>06-04-2026</t>
  </si>
  <si>
    <t>ORD077</t>
  </si>
  <si>
    <t>05-06-2026</t>
  </si>
  <si>
    <t>ORD078</t>
  </si>
  <si>
    <t>06-02-2026</t>
  </si>
  <si>
    <t>ORD079</t>
  </si>
  <si>
    <t>ORD080</t>
  </si>
  <si>
    <t>ORD081</t>
  </si>
  <si>
    <t>ORD082</t>
  </si>
  <si>
    <t>ORD083</t>
  </si>
  <si>
    <t>ORD084</t>
  </si>
  <si>
    <t>20-01-2026</t>
  </si>
  <si>
    <t>ORD085</t>
  </si>
  <si>
    <t>06-06-2026</t>
  </si>
  <si>
    <t>ORD086</t>
  </si>
  <si>
    <t>01-07-2026</t>
  </si>
  <si>
    <t>ORD087</t>
  </si>
  <si>
    <t>03-05-2026</t>
  </si>
  <si>
    <t>ORD088</t>
  </si>
  <si>
    <t>ORD089</t>
  </si>
  <si>
    <t>09-05-2026</t>
  </si>
  <si>
    <t>ORD090</t>
  </si>
  <si>
    <t>ORD091</t>
  </si>
  <si>
    <t>05-04-2026</t>
  </si>
  <si>
    <t>ORD092</t>
  </si>
  <si>
    <t>ORD093</t>
  </si>
  <si>
    <t>ORD094</t>
  </si>
  <si>
    <t>10-05-2026</t>
  </si>
  <si>
    <t>ORD095</t>
  </si>
  <si>
    <t>02-05-2026</t>
  </si>
  <si>
    <t>ORD096</t>
  </si>
  <si>
    <t>ORD097</t>
  </si>
  <si>
    <t>ORD098</t>
  </si>
  <si>
    <t>ORD099</t>
  </si>
  <si>
    <t>06-05-2026</t>
  </si>
  <si>
    <t>ORD100</t>
  </si>
  <si>
    <t>Sum of Sales</t>
  </si>
  <si>
    <r>
      <t xml:space="preserve"> </t>
    </r>
    <r>
      <rPr>
        <sz val="36"/>
        <color theme="1"/>
        <rFont val="Calibri"/>
        <family val="2"/>
        <scheme val="minor"/>
      </rPr>
      <t xml:space="preserve"> Sales _Data_Dashboard</t>
    </r>
  </si>
  <si>
    <t>Sum of Profit</t>
  </si>
  <si>
    <t>Count of Order_Date</t>
  </si>
  <si>
    <t>Sum of Quantity</t>
  </si>
  <si>
    <t>Row Labels</t>
  </si>
  <si>
    <t>Grand Total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</si>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</sst>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[Excel_Dashboard_100_Rows_Dataset Dashboard.xlsx]Sheet6!PivotTable5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Resigon</a:t>
            </a:r>
          </a:p>
          <a:p>
            <a:pPr>
              <a:defRPr/>
            </a:pP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Sheet6!$A$4:$A$8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1612869.3</c:v>
                </c:pt>
                <c:pt idx="1">
                  <c:v>1907170.55</c:v>
                </c:pt>
                <c:pt idx="2">
                  <c:v>1292715.25</c:v>
                </c:pt>
                <c:pt idx="3">
                  <c:v>1168791.95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[Excel_Dashboard_100_Rows_Dataset Dashboard.xlsx]Sheet7!PivotTable6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Patment</a:t>
            </a:r>
            <a:r>
              <a:rPr lang="en-US" baseline="0"/>
              <a:t> Method  Profit</a:t>
            </a:r>
          </a:p>
          <a:p>
            <a:pPr>
              <a:defRPr/>
            </a:pP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Sheet7!$A$4:$A$9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Sheet7!$B$4:$B$9</c:f>
              <c:numCache>
                <c:formatCode>General</c:formatCode>
                <c:ptCount val="5"/>
                <c:pt idx="0">
                  <c:v>217857.45</c:v>
                </c:pt>
                <c:pt idx="1">
                  <c:v>239600.58000000005</c:v>
                </c:pt>
                <c:pt idx="2">
                  <c:v>92645.909999999989</c:v>
                </c:pt>
                <c:pt idx="3">
                  <c:v>363776.95</c:v>
                </c:pt>
                <c:pt idx="4">
                  <c:v>52648.42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113792"/>
        <c:axId val="163878528"/>
      </c:barChart>
      <c:catAx>
        <c:axId val="166113792"/>
        <c:scaling>
          <c:orientation val="minMax"/>
        </c:scaling>
        <c:delete val="0"/>
        <c:axPos val="b"/>
        <c:majorTickMark val="out"/>
        <c:minorTickMark val="none"/>
        <c:tickLblPos val="nextTo"/>
        <c:crossAx val="163878528"/>
        <c:crosses val="autoZero"/>
        <c:auto val="1"/>
        <c:lblAlgn val="ctr"/>
        <c:lblOffset val="100"/>
        <c:noMultiLvlLbl val="0"/>
      </c:catAx>
      <c:valAx>
        <c:axId val="163878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113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[Excel_Dashboard_100_Rows_Dataset Dashboard.xlsx]Sheet8!PivotTable7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Segment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Sheet8!$A$4:$A$7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2040432.45</c:v>
                </c:pt>
                <c:pt idx="1">
                  <c:v>1735205.3499999996</c:v>
                </c:pt>
                <c:pt idx="2">
                  <c:v>2205909.25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113280"/>
        <c:axId val="193472768"/>
      </c:barChart>
      <c:catAx>
        <c:axId val="166113280"/>
        <c:scaling>
          <c:orientation val="minMax"/>
        </c:scaling>
        <c:delete val="0"/>
        <c:axPos val="b"/>
        <c:majorTickMark val="out"/>
        <c:minorTickMark val="none"/>
        <c:tickLblPos val="nextTo"/>
        <c:crossAx val="193472768"/>
        <c:crosses val="autoZero"/>
        <c:auto val="1"/>
        <c:lblAlgn val="ctr"/>
        <c:lblOffset val="100"/>
        <c:noMultiLvlLbl val="0"/>
      </c:catAx>
      <c:valAx>
        <c:axId val="19347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113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[Excel_Dashboard_100_Rows_Dataset Dashboard.xlsx]Sheet6!PivotTable5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Resigon</a:t>
            </a:r>
          </a:p>
          <a:p>
            <a:pPr>
              <a:defRPr/>
            </a:pP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Sheet6!$A$4:$A$8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1612869.3</c:v>
                </c:pt>
                <c:pt idx="1">
                  <c:v>1907170.55</c:v>
                </c:pt>
                <c:pt idx="2">
                  <c:v>1292715.25</c:v>
                </c:pt>
                <c:pt idx="3">
                  <c:v>1168791.95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tx2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[Excel_Dashboard_100_Rows_Dataset Dashboard.xlsx]Sheet7!PivotTable6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Patment</a:t>
            </a:r>
            <a:r>
              <a:rPr lang="en-US" baseline="0"/>
              <a:t> Method  Profit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5065266841644795"/>
          <c:y val="0.10546077573636629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Sheet7!$A$4:$A$9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Sheet7!$B$4:$B$9</c:f>
              <c:numCache>
                <c:formatCode>General</c:formatCode>
                <c:ptCount val="5"/>
                <c:pt idx="0">
                  <c:v>217857.45</c:v>
                </c:pt>
                <c:pt idx="1">
                  <c:v>239600.58000000005</c:v>
                </c:pt>
                <c:pt idx="2">
                  <c:v>92645.909999999989</c:v>
                </c:pt>
                <c:pt idx="3">
                  <c:v>363776.95</c:v>
                </c:pt>
                <c:pt idx="4">
                  <c:v>52648.42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817088"/>
        <c:axId val="203101248"/>
      </c:barChart>
      <c:catAx>
        <c:axId val="217817088"/>
        <c:scaling>
          <c:orientation val="minMax"/>
        </c:scaling>
        <c:delete val="0"/>
        <c:axPos val="b"/>
        <c:majorTickMark val="out"/>
        <c:minorTickMark val="none"/>
        <c:tickLblPos val="nextTo"/>
        <c:crossAx val="203101248"/>
        <c:crosses val="autoZero"/>
        <c:auto val="1"/>
        <c:lblAlgn val="ctr"/>
        <c:lblOffset val="100"/>
        <c:noMultiLvlLbl val="0"/>
      </c:catAx>
      <c:valAx>
        <c:axId val="203101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7817088"/>
        <c:crosses val="autoZero"/>
        <c:crossBetween val="between"/>
      </c:valAx>
      <c:spPr>
        <a:solidFill>
          <a:schemeClr val="accent2"/>
        </a:solidFill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rgbClr val="00B050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[Excel_Dashboard_100_Rows_Dataset Dashboard.xlsx]Sheet8!PivotTable7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Segment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Sheet8!$A$4:$A$7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2040432.45</c:v>
                </c:pt>
                <c:pt idx="1">
                  <c:v>1735205.3499999996</c:v>
                </c:pt>
                <c:pt idx="2">
                  <c:v>2205909.25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457984"/>
        <c:axId val="163876224"/>
      </c:barChart>
      <c:catAx>
        <c:axId val="212457984"/>
        <c:scaling>
          <c:orientation val="minMax"/>
        </c:scaling>
        <c:delete val="0"/>
        <c:axPos val="b"/>
        <c:majorTickMark val="out"/>
        <c:minorTickMark val="none"/>
        <c:tickLblPos val="nextTo"/>
        <c:crossAx val="163876224"/>
        <c:crosses val="autoZero"/>
        <c:auto val="1"/>
        <c:lblAlgn val="ctr"/>
        <c:lblOffset val="100"/>
        <c:noMultiLvlLbl val="0"/>
      </c:catAx>
      <c:valAx>
        <c:axId val="163876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457984"/>
        <c:crosses val="autoZero"/>
        <c:crossBetween val="between"/>
      </c:valAx>
      <c:spPr>
        <a:solidFill>
          <a:srgbClr val="002060"/>
        </a:solidFill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rgbClr val="92D050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632460</xdr:colOff>
      <xdr:row>2</xdr:row>
      <xdr:rowOff>121920</xdr:rowOff>
    </xdr:from>
    <xdr:ext cx="184731" cy="264560"/>
    <xdr:sp macro="" textlink="">
      <xdr:nvSpPr>
        <xdr:cNvPr id="2" name="TextBox 1"/>
        <xdr:cNvSpPr txBox="1"/>
      </xdr:nvSpPr>
      <xdr:spPr>
        <a:xfrm>
          <a:off x="632460" y="4876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480060</xdr:colOff>
      <xdr:row>13</xdr:row>
      <xdr:rowOff>38100</xdr:rowOff>
    </xdr:from>
    <xdr:to>
      <xdr:col>5</xdr:col>
      <xdr:colOff>175260</xdr:colOff>
      <xdr:row>18</xdr:row>
      <xdr:rowOff>38100</xdr:rowOff>
    </xdr:to>
    <xdr:sp macro="" textlink="">
      <xdr:nvSpPr>
        <xdr:cNvPr id="3" name="Rectangle 2"/>
        <xdr:cNvSpPr/>
      </xdr:nvSpPr>
      <xdr:spPr>
        <a:xfrm>
          <a:off x="2499360" y="2415540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Total</a:t>
          </a:r>
          <a:r>
            <a:rPr lang="en-US" sz="1100" baseline="0"/>
            <a:t> Sales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598147.065</a:t>
          </a:r>
          <a:endParaRPr lang="en-US" sz="1100"/>
        </a:p>
      </xdr:txBody>
    </xdr:sp>
    <xdr:clientData/>
  </xdr:twoCellAnchor>
  <xdr:oneCellAnchor>
    <xdr:from>
      <xdr:col>3</xdr:col>
      <xdr:colOff>335280</xdr:colOff>
      <xdr:row>11</xdr:row>
      <xdr:rowOff>160020</xdr:rowOff>
    </xdr:from>
    <xdr:ext cx="184731" cy="264560"/>
    <xdr:sp macro="" textlink="">
      <xdr:nvSpPr>
        <xdr:cNvPr id="4" name="TextBox 3"/>
        <xdr:cNvSpPr txBox="1"/>
      </xdr:nvSpPr>
      <xdr:spPr>
        <a:xfrm>
          <a:off x="2354580" y="217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510540</xdr:colOff>
      <xdr:row>2</xdr:row>
      <xdr:rowOff>175260</xdr:rowOff>
    </xdr:from>
    <xdr:ext cx="184731" cy="264560"/>
    <xdr:sp macro="" textlink="">
      <xdr:nvSpPr>
        <xdr:cNvPr id="2" name="TextBox 1"/>
        <xdr:cNvSpPr txBox="1"/>
      </xdr:nvSpPr>
      <xdr:spPr>
        <a:xfrm>
          <a:off x="510540" y="541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22860</xdr:colOff>
      <xdr:row>4</xdr:row>
      <xdr:rowOff>68580</xdr:rowOff>
    </xdr:from>
    <xdr:ext cx="184731" cy="264560"/>
    <xdr:sp macro="" textlink="">
      <xdr:nvSpPr>
        <xdr:cNvPr id="3" name="TextBox 2"/>
        <xdr:cNvSpPr txBox="1"/>
      </xdr:nvSpPr>
      <xdr:spPr>
        <a:xfrm>
          <a:off x="1463040" y="80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388620</xdr:colOff>
      <xdr:row>3</xdr:row>
      <xdr:rowOff>129540</xdr:rowOff>
    </xdr:from>
    <xdr:to>
      <xdr:col>5</xdr:col>
      <xdr:colOff>15240</xdr:colOff>
      <xdr:row>9</xdr:row>
      <xdr:rowOff>91440</xdr:rowOff>
    </xdr:to>
    <xdr:sp macro="" textlink="">
      <xdr:nvSpPr>
        <xdr:cNvPr id="4" name="TextBox 3"/>
        <xdr:cNvSpPr txBox="1"/>
      </xdr:nvSpPr>
      <xdr:spPr>
        <a:xfrm>
          <a:off x="1828800" y="678180"/>
          <a:ext cx="1455420" cy="105918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Total Profit</a:t>
          </a:r>
        </a:p>
        <a:p>
          <a:r>
            <a:rPr lang="en-US" sz="2000">
              <a:solidFill>
                <a:srgbClr val="FF0000"/>
              </a:solidFill>
            </a:rPr>
            <a:t>966529.73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320040</xdr:colOff>
      <xdr:row>4</xdr:row>
      <xdr:rowOff>7620</xdr:rowOff>
    </xdr:from>
    <xdr:ext cx="2484120" cy="1508760"/>
    <xdr:sp macro="" textlink="">
      <xdr:nvSpPr>
        <xdr:cNvPr id="2" name="TextBox 1"/>
        <xdr:cNvSpPr txBox="1"/>
      </xdr:nvSpPr>
      <xdr:spPr>
        <a:xfrm>
          <a:off x="1600200" y="739140"/>
          <a:ext cx="2484120" cy="1508760"/>
        </a:xfrm>
        <a:prstGeom prst="rect">
          <a:avLst/>
        </a:prstGeom>
        <a:solidFill>
          <a:srgbClr val="00B0F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3200"/>
            <a:t>Total Orders</a:t>
          </a:r>
        </a:p>
        <a:p>
          <a:r>
            <a:rPr lang="en-US" sz="2800"/>
            <a:t>         100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822960</xdr:colOff>
      <xdr:row>2</xdr:row>
      <xdr:rowOff>99060</xdr:rowOff>
    </xdr:from>
    <xdr:ext cx="184731" cy="264560"/>
    <xdr:sp macro="" textlink="">
      <xdr:nvSpPr>
        <xdr:cNvPr id="2" name="TextBox 1"/>
        <xdr:cNvSpPr txBox="1"/>
      </xdr:nvSpPr>
      <xdr:spPr>
        <a:xfrm>
          <a:off x="822960" y="464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594360</xdr:colOff>
      <xdr:row>1</xdr:row>
      <xdr:rowOff>121920</xdr:rowOff>
    </xdr:from>
    <xdr:ext cx="184731" cy="264560"/>
    <xdr:sp macro="" textlink="">
      <xdr:nvSpPr>
        <xdr:cNvPr id="3" name="TextBox 2"/>
        <xdr:cNvSpPr txBox="1"/>
      </xdr:nvSpPr>
      <xdr:spPr>
        <a:xfrm>
          <a:off x="527304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7</xdr:row>
      <xdr:rowOff>148590</xdr:rowOff>
    </xdr:from>
    <xdr:to>
      <xdr:col>10</xdr:col>
      <xdr:colOff>171450</xdr:colOff>
      <xdr:row>22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445770</xdr:colOff>
      <xdr:row>7</xdr:row>
      <xdr:rowOff>148590</xdr:rowOff>
    </xdr:from>
    <xdr:to>
      <xdr:col>10</xdr:col>
      <xdr:colOff>140970</xdr:colOff>
      <xdr:row>22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7</xdr:row>
      <xdr:rowOff>148590</xdr:rowOff>
    </xdr:from>
    <xdr:to>
      <xdr:col>10</xdr:col>
      <xdr:colOff>171450</xdr:colOff>
      <xdr:row>22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1</xdr:row>
      <xdr:rowOff>137160</xdr:rowOff>
    </xdr:from>
    <xdr:to>
      <xdr:col>6</xdr:col>
      <xdr:colOff>457200</xdr:colOff>
      <xdr:row>12</xdr:row>
      <xdr:rowOff>114300</xdr:rowOff>
    </xdr:to>
    <xdr:sp macro="" textlink="">
      <xdr:nvSpPr>
        <xdr:cNvPr id="3" name="Round Single Corner Rectangle 2"/>
        <xdr:cNvSpPr/>
      </xdr:nvSpPr>
      <xdr:spPr>
        <a:xfrm>
          <a:off x="1851660" y="320040"/>
          <a:ext cx="2735580" cy="1988820"/>
        </a:xfrm>
        <a:prstGeom prst="round1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/>
            <a:t>Discout By</a:t>
          </a:r>
          <a:r>
            <a:rPr lang="en-US" sz="3200" baseline="0"/>
            <a:t>  </a:t>
          </a:r>
          <a:r>
            <a:rPr lang="en-US" sz="3200"/>
            <a:t>Profit</a:t>
          </a:r>
        </a:p>
        <a:p>
          <a:pPr algn="l"/>
          <a:endParaRPr lang="en-US" sz="3200"/>
        </a:p>
        <a:p>
          <a:pPr algn="l"/>
          <a:r>
            <a:rPr lang="en-US" sz="3200"/>
            <a:t>99644.0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84731" cy="264560"/>
    <xdr:sp macro="" textlink="">
      <xdr:nvSpPr>
        <xdr:cNvPr id="2" name="TextBox 1"/>
        <xdr:cNvSpPr txBox="1"/>
      </xdr:nvSpPr>
      <xdr:spPr>
        <a:xfrm>
          <a:off x="0" y="548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15240</xdr:colOff>
      <xdr:row>3</xdr:row>
      <xdr:rowOff>15240</xdr:rowOff>
    </xdr:from>
    <xdr:to>
      <xdr:col>4</xdr:col>
      <xdr:colOff>320040</xdr:colOff>
      <xdr:row>11</xdr:row>
      <xdr:rowOff>53340</xdr:rowOff>
    </xdr:to>
    <xdr:sp macro="" textlink="">
      <xdr:nvSpPr>
        <xdr:cNvPr id="3" name="Rectangle 2"/>
        <xdr:cNvSpPr/>
      </xdr:nvSpPr>
      <xdr:spPr>
        <a:xfrm>
          <a:off x="15240" y="563880"/>
          <a:ext cx="2743200" cy="15011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/>
            <a:t>Total</a:t>
          </a:r>
          <a:r>
            <a:rPr lang="en-US" sz="3200" baseline="0"/>
            <a:t> Sales</a:t>
          </a:r>
        </a:p>
        <a:p>
          <a:pPr algn="l"/>
          <a:endParaRPr lang="en-US" sz="1100" baseline="0"/>
        </a:p>
        <a:p>
          <a:pPr algn="l"/>
          <a:r>
            <a:rPr lang="en-US" sz="2400" baseline="0"/>
            <a:t>598147.065</a:t>
          </a:r>
          <a:endParaRPr lang="en-US" sz="2400"/>
        </a:p>
      </xdr:txBody>
    </xdr:sp>
    <xdr:clientData/>
  </xdr:twoCellAnchor>
  <xdr:oneCellAnchor>
    <xdr:from>
      <xdr:col>2</xdr:col>
      <xdr:colOff>502920</xdr:colOff>
      <xdr:row>12</xdr:row>
      <xdr:rowOff>38100</xdr:rowOff>
    </xdr:from>
    <xdr:ext cx="184731" cy="264560"/>
    <xdr:sp macro="" textlink="">
      <xdr:nvSpPr>
        <xdr:cNvPr id="4" name="TextBox 3"/>
        <xdr:cNvSpPr txBox="1"/>
      </xdr:nvSpPr>
      <xdr:spPr>
        <a:xfrm>
          <a:off x="1722120" y="2232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4</xdr:col>
      <xdr:colOff>274320</xdr:colOff>
      <xdr:row>3</xdr:row>
      <xdr:rowOff>22860</xdr:rowOff>
    </xdr:from>
    <xdr:to>
      <xdr:col>8</xdr:col>
      <xdr:colOff>274320</xdr:colOff>
      <xdr:row>11</xdr:row>
      <xdr:rowOff>60960</xdr:rowOff>
    </xdr:to>
    <xdr:sp macro="" textlink="">
      <xdr:nvSpPr>
        <xdr:cNvPr id="5" name="TextBox 4"/>
        <xdr:cNvSpPr txBox="1"/>
      </xdr:nvSpPr>
      <xdr:spPr>
        <a:xfrm>
          <a:off x="2712720" y="571500"/>
          <a:ext cx="2438400" cy="1501140"/>
        </a:xfrm>
        <a:prstGeom prst="rect">
          <a:avLst/>
        </a:prstGeom>
        <a:solidFill>
          <a:schemeClr val="accent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Total Profit</a:t>
          </a:r>
        </a:p>
        <a:p>
          <a:r>
            <a:rPr lang="en-US" sz="2800">
              <a:solidFill>
                <a:srgbClr val="FF0000"/>
              </a:solidFill>
            </a:rPr>
            <a:t>966529.73</a:t>
          </a:r>
        </a:p>
      </xdr:txBody>
    </xdr:sp>
    <xdr:clientData/>
  </xdr:twoCellAnchor>
  <xdr:oneCellAnchor>
    <xdr:from>
      <xdr:col>8</xdr:col>
      <xdr:colOff>259080</xdr:colOff>
      <xdr:row>3</xdr:row>
      <xdr:rowOff>30480</xdr:rowOff>
    </xdr:from>
    <xdr:ext cx="2941320" cy="1485900"/>
    <xdr:sp macro="" textlink="">
      <xdr:nvSpPr>
        <xdr:cNvPr id="6" name="TextBox 5"/>
        <xdr:cNvSpPr txBox="1"/>
      </xdr:nvSpPr>
      <xdr:spPr>
        <a:xfrm>
          <a:off x="5135880" y="579120"/>
          <a:ext cx="2941320" cy="1485900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3200"/>
            <a:t>Average</a:t>
          </a:r>
          <a:r>
            <a:rPr lang="en-US" sz="3200" baseline="0"/>
            <a:t> Order</a:t>
          </a:r>
          <a:endParaRPr lang="en-US" sz="3200"/>
        </a:p>
        <a:p>
          <a:r>
            <a:rPr lang="en-US" sz="2800"/>
            <a:t>         8</a:t>
          </a:r>
        </a:p>
      </xdr:txBody>
    </xdr:sp>
    <xdr:clientData/>
  </xdr:oneCellAnchor>
  <xdr:oneCellAnchor>
    <xdr:from>
      <xdr:col>13</xdr:col>
      <xdr:colOff>137160</xdr:colOff>
      <xdr:row>3</xdr:row>
      <xdr:rowOff>22860</xdr:rowOff>
    </xdr:from>
    <xdr:ext cx="3162300" cy="1508760"/>
    <xdr:sp macro="" textlink="">
      <xdr:nvSpPr>
        <xdr:cNvPr id="7" name="TextBox 6"/>
        <xdr:cNvSpPr txBox="1"/>
      </xdr:nvSpPr>
      <xdr:spPr>
        <a:xfrm>
          <a:off x="8061960" y="571500"/>
          <a:ext cx="3162300" cy="1508760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3200"/>
            <a:t>Total Quantity</a:t>
          </a:r>
        </a:p>
        <a:p>
          <a:r>
            <a:rPr lang="en-US" sz="2800"/>
            <a:t>         10000</a:t>
          </a:r>
        </a:p>
      </xdr:txBody>
    </xdr:sp>
    <xdr:clientData/>
  </xdr:oneCellAnchor>
  <xdr:twoCellAnchor editAs="oneCell">
    <xdr:from>
      <xdr:col>18</xdr:col>
      <xdr:colOff>243840</xdr:colOff>
      <xdr:row>3</xdr:row>
      <xdr:rowOff>22860</xdr:rowOff>
    </xdr:from>
    <xdr:to>
      <xdr:col>22</xdr:col>
      <xdr:colOff>597624</xdr:colOff>
      <xdr:row>11</xdr:row>
      <xdr:rowOff>71759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6640" y="571500"/>
          <a:ext cx="2792184" cy="151193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83820</xdr:rowOff>
    </xdr:from>
    <xdr:to>
      <xdr:col>7</xdr:col>
      <xdr:colOff>518160</xdr:colOff>
      <xdr:row>26</xdr:row>
      <xdr:rowOff>83820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502920</xdr:colOff>
      <xdr:row>11</xdr:row>
      <xdr:rowOff>60960</xdr:rowOff>
    </xdr:from>
    <xdr:to>
      <xdr:col>15</xdr:col>
      <xdr:colOff>586740</xdr:colOff>
      <xdr:row>26</xdr:row>
      <xdr:rowOff>76200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7620</xdr:colOff>
      <xdr:row>11</xdr:row>
      <xdr:rowOff>45720</xdr:rowOff>
    </xdr:from>
    <xdr:to>
      <xdr:col>23</xdr:col>
      <xdr:colOff>22860</xdr:colOff>
      <xdr:row>26</xdr:row>
      <xdr:rowOff>91440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26</xdr:row>
      <xdr:rowOff>121920</xdr:rowOff>
    </xdr:from>
    <xdr:to>
      <xdr:col>23</xdr:col>
      <xdr:colOff>60960</xdr:colOff>
      <xdr:row>32</xdr:row>
      <xdr:rowOff>91440</xdr:rowOff>
    </xdr:to>
    <xdr:sp macro="" textlink="">
      <xdr:nvSpPr>
        <xdr:cNvPr id="15" name="Round Single Corner Rectangle 14"/>
        <xdr:cNvSpPr/>
      </xdr:nvSpPr>
      <xdr:spPr>
        <a:xfrm>
          <a:off x="0" y="4876800"/>
          <a:ext cx="14081760" cy="1066800"/>
        </a:xfrm>
        <a:prstGeom prst="round1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/>
            <a:t>                                                          </a:t>
          </a:r>
          <a:r>
            <a:rPr lang="en-US" sz="3200" baseline="0"/>
            <a:t> </a:t>
          </a:r>
          <a:r>
            <a:rPr lang="en-US" sz="3200">
              <a:solidFill>
                <a:schemeClr val="accent2"/>
              </a:solidFill>
            </a:rPr>
            <a:t>Profit By Discount</a:t>
          </a:r>
        </a:p>
        <a:p>
          <a:pPr algn="l"/>
          <a:r>
            <a:rPr lang="en-US" sz="3200"/>
            <a:t>                                                             94329.99</a:t>
          </a:r>
        </a:p>
        <a:p>
          <a:pPr algn="l"/>
          <a:endParaRPr lang="en-US" sz="3200"/>
        </a:p>
        <a:p>
          <a:pPr algn="l"/>
          <a:r>
            <a:rPr lang="en-US" sz="3200"/>
            <a:t>99644.0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88.357532870374" createdVersion="4" refreshedVersion="4" minRefreshableVersion="3" recordCount="100">
  <cacheSource type="worksheet">
    <worksheetSource name="Table1"/>
  </cacheSource>
  <cacheFields count="14">
    <cacheField name="Order_ID" numFmtId="0">
      <sharedItems/>
    </cacheField>
    <cacheField name="Order_Date" numFmtId="0">
      <sharedItems/>
    </cacheField>
    <cacheField name="Customer_Name" numFmtId="0">
      <sharedItems/>
    </cacheField>
    <cacheField name="Segment" numFmtId="0">
      <sharedItems count="3">
        <s v="Consumer"/>
        <s v="Home Office"/>
        <s v="Corporate"/>
      </sharedItems>
    </cacheField>
    <cacheField name="Region" numFmtId="0">
      <sharedItems count="4">
        <s v="North"/>
        <s v="West"/>
        <s v="South"/>
        <s v="East"/>
      </sharedItems>
    </cacheField>
    <cacheField name="State" numFmtId="0">
      <sharedItems/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containsInteger="1" minValue="14" maxValue="77954"/>
    </cacheField>
    <cacheField name="Discount" numFmtId="0">
      <sharedItems containsSemiMixedTypes="0" containsString="0" containsNumber="1" minValue="0" maxValue="0.2" count="5">
        <n v="0.05"/>
        <n v="0.1"/>
        <n v="0.15"/>
        <n v="0"/>
        <n v="0.2"/>
      </sharedItems>
    </cacheField>
    <cacheField name="Sales" numFmtId="0">
      <sharedItems containsSemiMixedTypes="0" containsString="0" containsNumber="1" minValue="35.700000000000003" maxValue="623632" count="100">
        <n v="1128.5999999999999"/>
        <n v="5186.7"/>
        <n v="4546.8"/>
        <n v="35.700000000000003"/>
        <n v="41544.449999999997"/>
        <n v="686.7"/>
        <n v="400"/>
        <n v="714.4"/>
        <n v="18688"/>
        <n v="512"/>
        <n v="36147.199999999997"/>
        <n v="1079.0999999999999"/>
        <n v="623632"/>
        <n v="791"/>
        <n v="2052.8000000000002"/>
        <n v="360"/>
        <n v="4688.25"/>
        <n v="31326"/>
        <n v="39317.599999999999"/>
        <n v="490.5"/>
        <n v="47616"/>
        <n v="636.5"/>
        <n v="2850"/>
        <n v="4672"/>
        <n v="12276"/>
        <n v="3146.7"/>
        <n v="36521.1"/>
        <n v="293.39999999999998"/>
        <n v="340255.8"/>
        <n v="23010.9"/>
        <n v="2167.5"/>
        <n v="53605.25"/>
        <n v="6801.7"/>
        <n v="78056"/>
        <n v="2420"/>
        <n v="378810"/>
        <n v="418530"/>
        <n v="31222.799999999999"/>
        <n v="20974.6"/>
        <n v="416574.9"/>
        <n v="3094"/>
        <n v="12554.5"/>
        <n v="26645.599999999999"/>
        <n v="4359.6000000000004"/>
        <n v="3146.4"/>
        <n v="65694.399999999994"/>
        <n v="256.5"/>
        <n v="1178"/>
        <n v="2356.1999999999998"/>
        <n v="2803.5"/>
        <n v="1808.8"/>
        <n v="146.30000000000001"/>
        <n v="84479.8"/>
        <n v="496"/>
        <n v="70291.8"/>
        <n v="6322.25"/>
        <n v="6636.6"/>
        <n v="72232.3"/>
        <n v="83809.600000000006"/>
        <n v="564.4"/>
        <n v="944"/>
        <n v="3682.8"/>
        <n v="120490"/>
        <n v="8379"/>
        <n v="439044"/>
        <n v="585784"/>
        <n v="731.5"/>
        <n v="5688.6"/>
        <n v="59766"/>
        <n v="1134"/>
        <n v="1747.2"/>
        <n v="16679.55"/>
        <n v="289"/>
        <n v="53078.25"/>
        <n v="28744.799999999999"/>
        <n v="44244.2"/>
        <n v="22828.5"/>
        <n v="9991.2000000000007"/>
        <n v="1020"/>
        <n v="23837.4"/>
        <n v="11845"/>
        <n v="2219"/>
        <n v="30955.5"/>
        <n v="79689.600000000006"/>
        <n v="24378"/>
        <n v="405468"/>
        <n v="32062"/>
        <n v="56816"/>
        <n v="124.8"/>
        <n v="403.2"/>
        <n v="188212.95"/>
        <n v="26230.5"/>
        <n v="12373.45"/>
        <n v="61033.5"/>
        <n v="3961.5"/>
        <n v="1652.4"/>
        <n v="787.2"/>
        <n v="419571.20000000001"/>
        <n v="48854.7"/>
        <n v="4159.05"/>
      </sharedItems>
    </cacheField>
    <cacheField name="Profit" numFmtId="0">
      <sharedItems containsSemiMixedTypes="0" containsString="0" containsNumber="1" minValue="4.4800000000000004" maxValue="121474.87"/>
    </cacheField>
    <cacheField name="Payment_Method" numFmtId="0">
      <sharedItems count="5">
        <s v="Net Banking"/>
        <s v="Cash"/>
        <s v="Debit Card"/>
        <s v="Credit Card"/>
        <s v="UP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ORD001"/>
    <s v="07-01-2026"/>
    <s v="Meera"/>
    <x v="0"/>
    <x v="0"/>
    <s v="Delhi"/>
    <s v="Office Supplies"/>
    <s v="Printer Paper"/>
    <n v="4"/>
    <n v="297"/>
    <x v="0"/>
    <x v="0"/>
    <n v="187.25"/>
    <x v="0"/>
  </r>
  <r>
    <s v="ORD002"/>
    <s v="04-06-2026"/>
    <s v="Rahul"/>
    <x v="0"/>
    <x v="1"/>
    <s v="Gujarat"/>
    <s v="Furniture"/>
    <s v="Bookshelf"/>
    <n v="1"/>
    <n v="5763"/>
    <x v="1"/>
    <x v="1"/>
    <n v="1162.2"/>
    <x v="1"/>
  </r>
  <r>
    <s v="ORD003"/>
    <s v="01-04-2026"/>
    <s v="Arjun"/>
    <x v="1"/>
    <x v="0"/>
    <s v="Haryana"/>
    <s v="Technology"/>
    <s v="Keyboard"/>
    <n v="6"/>
    <n v="842"/>
    <x v="1"/>
    <x v="2"/>
    <n v="489.47"/>
    <x v="2"/>
  </r>
  <r>
    <s v="ORD004"/>
    <s v="24-02-2026"/>
    <s v="Nikhil"/>
    <x v="1"/>
    <x v="0"/>
    <s v="Punjab"/>
    <s v="Office Supplies"/>
    <s v="Pen"/>
    <n v="3"/>
    <n v="14"/>
    <x v="2"/>
    <x v="3"/>
    <n v="4.4800000000000004"/>
    <x v="2"/>
  </r>
  <r>
    <s v="ORD005"/>
    <s v="24-01-2026"/>
    <s v="Vivaan"/>
    <x v="0"/>
    <x v="2"/>
    <s v="Kerala"/>
    <s v="Furniture"/>
    <s v="Table"/>
    <n v="3"/>
    <n v="14577"/>
    <x v="0"/>
    <x v="4"/>
    <n v="6922.11"/>
    <x v="3"/>
  </r>
  <r>
    <s v="ORD006"/>
    <s v="22-04-2026"/>
    <s v="Ishita"/>
    <x v="2"/>
    <x v="2"/>
    <s v="Kerala"/>
    <s v="Office Supplies"/>
    <s v="Notebook"/>
    <n v="7"/>
    <n v="109"/>
    <x v="1"/>
    <x v="5"/>
    <n v="67.959999999999994"/>
    <x v="4"/>
  </r>
  <r>
    <s v="ORD007"/>
    <s v="20-03-2026"/>
    <s v="Neha"/>
    <x v="0"/>
    <x v="3"/>
    <s v="Odisha"/>
    <s v="Office Supplies"/>
    <s v="Notebook"/>
    <n v="5"/>
    <n v="80"/>
    <x v="3"/>
    <x v="6"/>
    <n v="95.18"/>
    <x v="3"/>
  </r>
  <r>
    <s v="ORD008"/>
    <s v="13-04-2026"/>
    <s v="Kavya"/>
    <x v="2"/>
    <x v="0"/>
    <s v="Delhi"/>
    <s v="Office Supplies"/>
    <s v="Stapler"/>
    <n v="2"/>
    <n v="376"/>
    <x v="0"/>
    <x v="7"/>
    <n v="143.74"/>
    <x v="0"/>
  </r>
  <r>
    <s v="ORD009"/>
    <s v="19-01-2026"/>
    <s v="Karan"/>
    <x v="0"/>
    <x v="1"/>
    <s v="Maharashtra"/>
    <s v="Technology"/>
    <s v="Monitor"/>
    <n v="2"/>
    <n v="9344"/>
    <x v="3"/>
    <x v="8"/>
    <n v="4226.07"/>
    <x v="2"/>
  </r>
  <r>
    <s v="ORD010"/>
    <s v="15-06-2026"/>
    <s v="Riya"/>
    <x v="0"/>
    <x v="1"/>
    <s v="Gujarat"/>
    <s v="Office Supplies"/>
    <s v="Pen"/>
    <n v="8"/>
    <n v="64"/>
    <x v="3"/>
    <x v="9"/>
    <n v="99.57"/>
    <x v="1"/>
  </r>
  <r>
    <s v="ORD011"/>
    <s v="24-01-2026"/>
    <s v="Neha"/>
    <x v="0"/>
    <x v="3"/>
    <s v="West Bengal"/>
    <s v="Technology"/>
    <s v="Monitor"/>
    <n v="4"/>
    <n v="11296"/>
    <x v="4"/>
    <x v="10"/>
    <n v="8029.19"/>
    <x v="1"/>
  </r>
  <r>
    <s v="ORD012"/>
    <s v="15-01-2026"/>
    <s v="Nikhil"/>
    <x v="1"/>
    <x v="1"/>
    <s v="Goa"/>
    <s v="Technology"/>
    <s v="Mouse"/>
    <n v="1"/>
    <n v="1199"/>
    <x v="1"/>
    <x v="11"/>
    <n v="126.26"/>
    <x v="0"/>
  </r>
  <r>
    <s v="ORD013"/>
    <s v="02-03-2026"/>
    <s v="Amit"/>
    <x v="0"/>
    <x v="0"/>
    <s v="Uttar Pradesh"/>
    <s v="Technology"/>
    <s v="Laptop"/>
    <n v="8"/>
    <n v="77954"/>
    <x v="3"/>
    <x v="12"/>
    <n v="121474.87"/>
    <x v="0"/>
  </r>
  <r>
    <s v="ORD014"/>
    <s v="09-06-2026"/>
    <s v="Nikhil"/>
    <x v="0"/>
    <x v="2"/>
    <s v="Karnataka"/>
    <s v="Office Supplies"/>
    <s v="Notebook"/>
    <n v="7"/>
    <n v="113"/>
    <x v="3"/>
    <x v="13"/>
    <n v="64.53"/>
    <x v="4"/>
  </r>
  <r>
    <s v="ORD015"/>
    <s v="19-06-2026"/>
    <s v="Riya"/>
    <x v="0"/>
    <x v="2"/>
    <s v="Telangana"/>
    <s v="Technology"/>
    <s v="Keyboard"/>
    <n v="2"/>
    <n v="1283"/>
    <x v="4"/>
    <x v="14"/>
    <n v="268.7"/>
    <x v="2"/>
  </r>
  <r>
    <s v="ORD016"/>
    <s v="12-03-2026"/>
    <s v="Vivaan"/>
    <x v="0"/>
    <x v="0"/>
    <s v="Delhi"/>
    <s v="Office Supplies"/>
    <s v="Pen"/>
    <n v="5"/>
    <n v="72"/>
    <x v="3"/>
    <x v="15"/>
    <n v="67.62"/>
    <x v="2"/>
  </r>
  <r>
    <s v="ORD017"/>
    <s v="04-04-2026"/>
    <s v="Vivaan"/>
    <x v="2"/>
    <x v="2"/>
    <s v="Telangana"/>
    <s v="Technology"/>
    <s v="Mouse"/>
    <n v="7"/>
    <n v="705"/>
    <x v="0"/>
    <x v="16"/>
    <n v="408.4"/>
    <x v="3"/>
  </r>
  <r>
    <s v="ORD018"/>
    <s v="10-01-2026"/>
    <s v="Pooja"/>
    <x v="0"/>
    <x v="2"/>
    <s v="Karnataka"/>
    <s v="Furniture"/>
    <s v="Table"/>
    <n v="3"/>
    <n v="10442"/>
    <x v="3"/>
    <x v="17"/>
    <n v="4543.28"/>
    <x v="3"/>
  </r>
  <r>
    <s v="ORD019"/>
    <s v="18-05-2026"/>
    <s v="Rohan"/>
    <x v="0"/>
    <x v="1"/>
    <s v="Rajasthan"/>
    <s v="Furniture"/>
    <s v="Desk"/>
    <n v="4"/>
    <n v="11564"/>
    <x v="2"/>
    <x v="18"/>
    <n v="7687.3"/>
    <x v="4"/>
  </r>
  <r>
    <s v="ORD020"/>
    <s v="22-04-2026"/>
    <s v="Aarav"/>
    <x v="1"/>
    <x v="3"/>
    <s v="Odisha"/>
    <s v="Office Supplies"/>
    <s v="Printer Paper"/>
    <n v="1"/>
    <n v="545"/>
    <x v="1"/>
    <x v="19"/>
    <n v="42.94"/>
    <x v="0"/>
  </r>
  <r>
    <s v="ORD021"/>
    <s v="18-04-2026"/>
    <s v="Amit"/>
    <x v="1"/>
    <x v="2"/>
    <s v="Telangana"/>
    <s v="Furniture"/>
    <s v="Office Chair"/>
    <n v="6"/>
    <n v="9920"/>
    <x v="4"/>
    <x v="20"/>
    <n v="4839.6400000000003"/>
    <x v="3"/>
  </r>
  <r>
    <s v="ORD022"/>
    <s v="14-03-2026"/>
    <s v="Karan"/>
    <x v="1"/>
    <x v="3"/>
    <s v="Jharkhand"/>
    <s v="Office Supplies"/>
    <s v="Notebook"/>
    <n v="5"/>
    <n v="134"/>
    <x v="0"/>
    <x v="21"/>
    <n v="122.21"/>
    <x v="0"/>
  </r>
  <r>
    <s v="ORD023"/>
    <s v="09-04-2026"/>
    <s v="Pooja"/>
    <x v="2"/>
    <x v="3"/>
    <s v="West Bengal"/>
    <s v="Technology"/>
    <s v="Keyboard"/>
    <n v="4"/>
    <n v="750"/>
    <x v="0"/>
    <x v="22"/>
    <n v="576.04"/>
    <x v="3"/>
  </r>
  <r>
    <s v="ORD024"/>
    <s v="02-06-2026"/>
    <s v="Rohan"/>
    <x v="2"/>
    <x v="2"/>
    <s v="Karnataka"/>
    <s v="Technology"/>
    <s v="Mouse"/>
    <n v="4"/>
    <n v="1460"/>
    <x v="4"/>
    <x v="23"/>
    <n v="1158.3800000000001"/>
    <x v="0"/>
  </r>
  <r>
    <s v="ORD025"/>
    <s v="27-03-2026"/>
    <s v="Rohan"/>
    <x v="1"/>
    <x v="1"/>
    <s v="Goa"/>
    <s v="Technology"/>
    <s v="Mouse"/>
    <n v="8"/>
    <n v="1705"/>
    <x v="1"/>
    <x v="24"/>
    <n v="1471.45"/>
    <x v="4"/>
  </r>
  <r>
    <s v="ORD026"/>
    <s v="30-05-2026"/>
    <s v="Aarav"/>
    <x v="1"/>
    <x v="2"/>
    <s v="Tamil Nadu"/>
    <s v="Technology"/>
    <s v="Mouse"/>
    <n v="3"/>
    <n v="1234"/>
    <x v="2"/>
    <x v="25"/>
    <n v="735.77"/>
    <x v="1"/>
  </r>
  <r>
    <s v="ORD027"/>
    <s v="14-04-2026"/>
    <s v="Ishita"/>
    <x v="2"/>
    <x v="1"/>
    <s v="Maharashtra"/>
    <s v="Furniture"/>
    <s v="Bookshelf"/>
    <n v="7"/>
    <n v="5797"/>
    <x v="1"/>
    <x v="26"/>
    <n v="7074.45"/>
    <x v="3"/>
  </r>
  <r>
    <s v="ORD028"/>
    <s v="08-04-2026"/>
    <s v="Rahul"/>
    <x v="2"/>
    <x v="0"/>
    <s v="Haryana"/>
    <s v="Office Supplies"/>
    <s v="Notebook"/>
    <n v="2"/>
    <n v="163"/>
    <x v="1"/>
    <x v="27"/>
    <n v="61.44"/>
    <x v="2"/>
  </r>
  <r>
    <s v="ORD029"/>
    <s v="21-06-2026"/>
    <s v="Riya"/>
    <x v="1"/>
    <x v="0"/>
    <s v="Haryana"/>
    <s v="Technology"/>
    <s v="Laptop"/>
    <n v="6"/>
    <n v="59694"/>
    <x v="0"/>
    <x v="28"/>
    <n v="34521.53"/>
    <x v="3"/>
  </r>
  <r>
    <s v="ORD030"/>
    <s v="19-03-2026"/>
    <s v="Simran"/>
    <x v="0"/>
    <x v="1"/>
    <s v="Rajasthan"/>
    <s v="Furniture"/>
    <s v="Desk"/>
    <n v="2"/>
    <n v="12111"/>
    <x v="0"/>
    <x v="29"/>
    <n v="2239.4899999999998"/>
    <x v="0"/>
  </r>
  <r>
    <s v="ORD031"/>
    <s v="22-04-2026"/>
    <s v="Ishita"/>
    <x v="1"/>
    <x v="0"/>
    <s v="Uttar Pradesh"/>
    <s v="Office Supplies"/>
    <s v="Stapler"/>
    <n v="6"/>
    <n v="425"/>
    <x v="2"/>
    <x v="30"/>
    <n v="434.03"/>
    <x v="0"/>
  </r>
  <r>
    <s v="ORD032"/>
    <s v="16-02-2026"/>
    <s v="Pooja"/>
    <x v="0"/>
    <x v="3"/>
    <s v="Jharkhand"/>
    <s v="Furniture"/>
    <s v="Table"/>
    <n v="5"/>
    <n v="12613"/>
    <x v="2"/>
    <x v="31"/>
    <n v="12043.06"/>
    <x v="2"/>
  </r>
  <r>
    <s v="ORD033"/>
    <s v="05-01-2026"/>
    <s v="Aditya"/>
    <x v="2"/>
    <x v="3"/>
    <s v="Bihar"/>
    <s v="Furniture"/>
    <s v="Bookshelf"/>
    <n v="1"/>
    <n v="8002"/>
    <x v="2"/>
    <x v="32"/>
    <n v="1062.3599999999999"/>
    <x v="3"/>
  </r>
  <r>
    <s v="ORD034"/>
    <s v="22-03-2026"/>
    <s v="Riya"/>
    <x v="1"/>
    <x v="1"/>
    <s v="Gujarat"/>
    <s v="Furniture"/>
    <s v="Bookshelf"/>
    <n v="8"/>
    <n v="9757"/>
    <x v="3"/>
    <x v="33"/>
    <n v="15815.58"/>
    <x v="0"/>
  </r>
  <r>
    <s v="ORD035"/>
    <s v="12-01-2026"/>
    <s v="Vivaan"/>
    <x v="1"/>
    <x v="2"/>
    <s v="Tamil Nadu"/>
    <s v="Technology"/>
    <s v="Mouse"/>
    <n v="5"/>
    <n v="605"/>
    <x v="4"/>
    <x v="34"/>
    <n v="245.68"/>
    <x v="2"/>
  </r>
  <r>
    <s v="ORD036"/>
    <s v="25-06-2026"/>
    <s v="Vivaan"/>
    <x v="0"/>
    <x v="2"/>
    <s v="Kerala"/>
    <s v="Technology"/>
    <s v="Laptop"/>
    <n v="5"/>
    <n v="75762"/>
    <x v="3"/>
    <x v="35"/>
    <n v="67463.64"/>
    <x v="3"/>
  </r>
  <r>
    <s v="ORD037"/>
    <s v="26-01-2026"/>
    <s v="Arjun"/>
    <x v="1"/>
    <x v="3"/>
    <s v="West Bengal"/>
    <s v="Technology"/>
    <s v="Laptop"/>
    <n v="7"/>
    <n v="59790"/>
    <x v="3"/>
    <x v="36"/>
    <n v="76857.7"/>
    <x v="3"/>
  </r>
  <r>
    <s v="ORD038"/>
    <s v="27-04-2026"/>
    <s v="Aditya"/>
    <x v="1"/>
    <x v="3"/>
    <s v="West Bengal"/>
    <s v="Technology"/>
    <s v="Monitor"/>
    <n v="3"/>
    <n v="11564"/>
    <x v="1"/>
    <x v="37"/>
    <n v="6229.19"/>
    <x v="3"/>
  </r>
  <r>
    <s v="ORD039"/>
    <s v="29-06-2026"/>
    <s v="Amit"/>
    <x v="2"/>
    <x v="3"/>
    <s v="Odisha"/>
    <s v="Furniture"/>
    <s v="Office Chair"/>
    <n v="4"/>
    <n v="6169"/>
    <x v="2"/>
    <x v="38"/>
    <n v="4133.57"/>
    <x v="0"/>
  </r>
  <r>
    <s v="ORD040"/>
    <s v="14-02-2026"/>
    <s v="Pooja"/>
    <x v="1"/>
    <x v="1"/>
    <s v="Goa"/>
    <s v="Technology"/>
    <s v="Laptop"/>
    <n v="7"/>
    <n v="66123"/>
    <x v="1"/>
    <x v="39"/>
    <n v="74134.5"/>
    <x v="1"/>
  </r>
  <r>
    <s v="ORD041"/>
    <s v="13-04-2026"/>
    <s v="Meera"/>
    <x v="0"/>
    <x v="3"/>
    <s v="Odisha"/>
    <s v="Office Supplies"/>
    <s v="Stapler"/>
    <n v="8"/>
    <n v="455"/>
    <x v="2"/>
    <x v="40"/>
    <n v="399.12"/>
    <x v="1"/>
  </r>
  <r>
    <s v="ORD042"/>
    <s v="14-01-2026"/>
    <s v="Arjun"/>
    <x v="2"/>
    <x v="0"/>
    <s v="Uttar Pradesh"/>
    <s v="Furniture"/>
    <s v="Bookshelf"/>
    <n v="2"/>
    <n v="7385"/>
    <x v="2"/>
    <x v="41"/>
    <n v="2339.15"/>
    <x v="0"/>
  </r>
  <r>
    <s v="ORD043"/>
    <s v="30-01-2026"/>
    <s v="Vikram"/>
    <x v="0"/>
    <x v="2"/>
    <s v="Telangana"/>
    <s v="Furniture"/>
    <s v="Table"/>
    <n v="2"/>
    <n v="14024"/>
    <x v="0"/>
    <x v="42"/>
    <n v="6626.33"/>
    <x v="3"/>
  </r>
  <r>
    <s v="ORD044"/>
    <s v="17-04-2026"/>
    <s v="Rohan"/>
    <x v="1"/>
    <x v="1"/>
    <s v="Rajasthan"/>
    <s v="Office Supplies"/>
    <s v="Printer Paper"/>
    <n v="7"/>
    <n v="692"/>
    <x v="1"/>
    <x v="43"/>
    <n v="921.42"/>
    <x v="2"/>
  </r>
  <r>
    <s v="ORD045"/>
    <s v="01-03-2026"/>
    <s v="Sneha"/>
    <x v="0"/>
    <x v="0"/>
    <s v="Uttar Pradesh"/>
    <s v="Office Supplies"/>
    <s v="Printer Paper"/>
    <n v="8"/>
    <n v="414"/>
    <x v="0"/>
    <x v="44"/>
    <n v="557.55999999999995"/>
    <x v="2"/>
  </r>
  <r>
    <s v="ORD046"/>
    <s v="17-06-2026"/>
    <s v="Ananya"/>
    <x v="0"/>
    <x v="1"/>
    <s v="Goa"/>
    <s v="Furniture"/>
    <s v="Desk"/>
    <n v="8"/>
    <n v="8644"/>
    <x v="0"/>
    <x v="45"/>
    <n v="9834.2099999999991"/>
    <x v="1"/>
  </r>
  <r>
    <s v="ORD047"/>
    <s v="15-03-2026"/>
    <s v="Neha"/>
    <x v="1"/>
    <x v="3"/>
    <s v="Bihar"/>
    <s v="Office Supplies"/>
    <s v="Stapler"/>
    <n v="2"/>
    <n v="135"/>
    <x v="0"/>
    <x v="46"/>
    <n v="48.04"/>
    <x v="4"/>
  </r>
  <r>
    <s v="ORD048"/>
    <s v="16-04-2026"/>
    <s v="Nikhil"/>
    <x v="1"/>
    <x v="1"/>
    <s v="Maharashtra"/>
    <s v="Office Supplies"/>
    <s v="Notebook"/>
    <n v="8"/>
    <n v="155"/>
    <x v="0"/>
    <x v="47"/>
    <n v="143.13999999999999"/>
    <x v="3"/>
  </r>
  <r>
    <s v="ORD049"/>
    <s v="23-06-2026"/>
    <s v="Meera"/>
    <x v="0"/>
    <x v="2"/>
    <s v="Tamil Nadu"/>
    <s v="Technology"/>
    <s v="Mouse"/>
    <n v="4"/>
    <n v="693"/>
    <x v="2"/>
    <x v="48"/>
    <n v="549.48"/>
    <x v="4"/>
  </r>
  <r>
    <s v="ORD050"/>
    <s v="29-06-2026"/>
    <s v="Priya"/>
    <x v="0"/>
    <x v="1"/>
    <s v="Rajasthan"/>
    <s v="Office Supplies"/>
    <s v="Printer Paper"/>
    <n v="7"/>
    <n v="445"/>
    <x v="1"/>
    <x v="49"/>
    <n v="498.23"/>
    <x v="1"/>
  </r>
  <r>
    <s v="ORD051"/>
    <s v="10-06-2026"/>
    <s v="Vivaan"/>
    <x v="2"/>
    <x v="3"/>
    <s v="West Bengal"/>
    <s v="Office Supplies"/>
    <s v="Notebook"/>
    <n v="8"/>
    <n v="238"/>
    <x v="0"/>
    <x v="50"/>
    <n v="337.89"/>
    <x v="1"/>
  </r>
  <r>
    <s v="ORD052"/>
    <s v="04-05-2026"/>
    <s v="Priya"/>
    <x v="1"/>
    <x v="0"/>
    <s v="Uttar Pradesh"/>
    <s v="Office Supplies"/>
    <s v="Pen"/>
    <n v="2"/>
    <n v="77"/>
    <x v="0"/>
    <x v="51"/>
    <n v="18.100000000000001"/>
    <x v="2"/>
  </r>
  <r>
    <s v="ORD053"/>
    <s v="22-06-2026"/>
    <s v="Rahul"/>
    <x v="1"/>
    <x v="0"/>
    <s v="Haryana"/>
    <s v="Technology"/>
    <s v="Monitor"/>
    <n v="4"/>
    <n v="24847"/>
    <x v="2"/>
    <x v="52"/>
    <n v="12051.85"/>
    <x v="1"/>
  </r>
  <r>
    <s v="ORD054"/>
    <s v="19-03-2026"/>
    <s v="Pooja"/>
    <x v="0"/>
    <x v="3"/>
    <s v="West Bengal"/>
    <s v="Office Supplies"/>
    <s v="Pen"/>
    <n v="8"/>
    <n v="62"/>
    <x v="3"/>
    <x v="53"/>
    <n v="119.47"/>
    <x v="4"/>
  </r>
  <r>
    <s v="ORD055"/>
    <s v="24-04-2026"/>
    <s v="Neha"/>
    <x v="2"/>
    <x v="2"/>
    <s v="Tamil Nadu"/>
    <s v="Furniture"/>
    <s v="Table"/>
    <n v="6"/>
    <n v="13017"/>
    <x v="1"/>
    <x v="54"/>
    <n v="8219.6299999999992"/>
    <x v="4"/>
  </r>
  <r>
    <s v="ORD056"/>
    <s v="25-05-2026"/>
    <s v="Arjun"/>
    <x v="0"/>
    <x v="3"/>
    <s v="Bihar"/>
    <s v="Technology"/>
    <s v="Mouse"/>
    <n v="5"/>
    <n v="1331"/>
    <x v="0"/>
    <x v="55"/>
    <n v="1568.55"/>
    <x v="0"/>
  </r>
  <r>
    <s v="ORD057"/>
    <s v="02-03-2026"/>
    <s v="Nikhil"/>
    <x v="2"/>
    <x v="2"/>
    <s v="Tamil Nadu"/>
    <s v="Technology"/>
    <s v="Keyboard"/>
    <n v="3"/>
    <n v="2458"/>
    <x v="1"/>
    <x v="56"/>
    <n v="1422.21"/>
    <x v="4"/>
  </r>
  <r>
    <s v="ORD058"/>
    <s v="12-01-2026"/>
    <s v="Karan"/>
    <x v="2"/>
    <x v="2"/>
    <s v="Telangana"/>
    <s v="Technology"/>
    <s v="Monitor"/>
    <n v="7"/>
    <n v="10862"/>
    <x v="0"/>
    <x v="57"/>
    <n v="17387.810000000001"/>
    <x v="1"/>
  </r>
  <r>
    <s v="ORD059"/>
    <s v="21-05-2026"/>
    <s v="Rohan"/>
    <x v="2"/>
    <x v="0"/>
    <s v="Delhi"/>
    <s v="Furniture"/>
    <s v="Table"/>
    <n v="7"/>
    <n v="14966"/>
    <x v="4"/>
    <x v="58"/>
    <n v="15724.61"/>
    <x v="0"/>
  </r>
  <r>
    <s v="ORD060"/>
    <s v="25-01-2026"/>
    <s v="Rohan"/>
    <x v="2"/>
    <x v="3"/>
    <s v="Jharkhand"/>
    <s v="Office Supplies"/>
    <s v="Stapler"/>
    <n v="2"/>
    <n v="332"/>
    <x v="2"/>
    <x v="59"/>
    <n v="85.07"/>
    <x v="2"/>
  </r>
  <r>
    <s v="ORD061"/>
    <s v="01-02-2026"/>
    <s v="Sneha"/>
    <x v="2"/>
    <x v="3"/>
    <s v="Bihar"/>
    <s v="Technology"/>
    <s v="Mouse"/>
    <n v="2"/>
    <n v="590"/>
    <x v="4"/>
    <x v="60"/>
    <n v="128.41999999999999"/>
    <x v="1"/>
  </r>
  <r>
    <s v="ORD062"/>
    <s v="13-03-2026"/>
    <s v="Nikhil"/>
    <x v="0"/>
    <x v="0"/>
    <s v="Uttar Pradesh"/>
    <s v="Office Supplies"/>
    <s v="Printer Paper"/>
    <n v="6"/>
    <n v="682"/>
    <x v="1"/>
    <x v="61"/>
    <n v="366.55"/>
    <x v="1"/>
  </r>
  <r>
    <s v="ORD063"/>
    <s v="16-05-2026"/>
    <s v="Arjun"/>
    <x v="2"/>
    <x v="0"/>
    <s v="Uttar Pradesh"/>
    <s v="Technology"/>
    <s v="Monitor"/>
    <n v="5"/>
    <n v="24098"/>
    <x v="3"/>
    <x v="62"/>
    <n v="11518.7"/>
    <x v="1"/>
  </r>
  <r>
    <s v="ORD064"/>
    <s v="19-04-2026"/>
    <s v="Pooja"/>
    <x v="1"/>
    <x v="1"/>
    <s v="Rajasthan"/>
    <s v="Technology"/>
    <s v="Keyboard"/>
    <n v="5"/>
    <n v="1862"/>
    <x v="1"/>
    <x v="63"/>
    <n v="1301.5"/>
    <x v="1"/>
  </r>
  <r>
    <s v="ORD065"/>
    <s v="19-03-2026"/>
    <s v="Arjun"/>
    <x v="0"/>
    <x v="1"/>
    <s v="Rajasthan"/>
    <s v="Technology"/>
    <s v="Laptop"/>
    <n v="6"/>
    <n v="73174"/>
    <x v="3"/>
    <x v="64"/>
    <n v="35697.26"/>
    <x v="2"/>
  </r>
  <r>
    <s v="ORD066"/>
    <s v="28-04-2026"/>
    <s v="Aditya"/>
    <x v="2"/>
    <x v="3"/>
    <s v="Bihar"/>
    <s v="Technology"/>
    <s v="Laptop"/>
    <n v="8"/>
    <n v="73223"/>
    <x v="3"/>
    <x v="65"/>
    <n v="90302.9"/>
    <x v="0"/>
  </r>
  <r>
    <s v="ORD067"/>
    <s v="13-04-2026"/>
    <s v="Karan"/>
    <x v="0"/>
    <x v="1"/>
    <s v="Goa"/>
    <s v="Office Supplies"/>
    <s v="Stapler"/>
    <n v="5"/>
    <n v="154"/>
    <x v="0"/>
    <x v="66"/>
    <n v="112.7"/>
    <x v="1"/>
  </r>
  <r>
    <s v="ORD068"/>
    <s v="14-02-2026"/>
    <s v="Simran"/>
    <x v="0"/>
    <x v="3"/>
    <s v="Bihar"/>
    <s v="Technology"/>
    <s v="Keyboard"/>
    <n v="3"/>
    <n v="1996"/>
    <x v="0"/>
    <x v="67"/>
    <n v="702.63"/>
    <x v="4"/>
  </r>
  <r>
    <s v="ORD069"/>
    <s v="26-04-2026"/>
    <s v="Vivaan"/>
    <x v="0"/>
    <x v="2"/>
    <s v="Kerala"/>
    <s v="Furniture"/>
    <s v="Table"/>
    <n v="6"/>
    <n v="9961"/>
    <x v="3"/>
    <x v="68"/>
    <n v="7935.09"/>
    <x v="2"/>
  </r>
  <r>
    <s v="ORD070"/>
    <s v="29-03-2026"/>
    <s v="Aditya"/>
    <x v="1"/>
    <x v="3"/>
    <s v="West Bengal"/>
    <s v="Office Supplies"/>
    <s v="Notebook"/>
    <n v="7"/>
    <n v="162"/>
    <x v="3"/>
    <x v="69"/>
    <n v="177.57"/>
    <x v="3"/>
  </r>
  <r>
    <s v="ORD071"/>
    <s v="11-06-2026"/>
    <s v="Rohan"/>
    <x v="0"/>
    <x v="0"/>
    <s v="Punjab"/>
    <s v="Office Supplies"/>
    <s v="Stapler"/>
    <n v="8"/>
    <n v="273"/>
    <x v="4"/>
    <x v="70"/>
    <n v="155.33000000000001"/>
    <x v="2"/>
  </r>
  <r>
    <s v="ORD072"/>
    <s v="26-03-2026"/>
    <s v="Ananya"/>
    <x v="1"/>
    <x v="0"/>
    <s v="Haryana"/>
    <s v="Furniture"/>
    <s v="Bookshelf"/>
    <n v="3"/>
    <n v="6541"/>
    <x v="2"/>
    <x v="71"/>
    <n v="3159"/>
    <x v="0"/>
  </r>
  <r>
    <s v="ORD073"/>
    <s v="19-05-2026"/>
    <s v="Karan"/>
    <x v="0"/>
    <x v="0"/>
    <s v="Haryana"/>
    <s v="Office Supplies"/>
    <s v="Printer Paper"/>
    <n v="1"/>
    <n v="289"/>
    <x v="3"/>
    <x v="72"/>
    <n v="48.06"/>
    <x v="2"/>
  </r>
  <r>
    <s v="ORD074"/>
    <s v="03-03-2026"/>
    <s v="Priya"/>
    <x v="2"/>
    <x v="2"/>
    <s v="Kerala"/>
    <s v="Technology"/>
    <s v="Monitor"/>
    <n v="3"/>
    <n v="20815"/>
    <x v="2"/>
    <x v="73"/>
    <n v="6357.74"/>
    <x v="3"/>
  </r>
  <r>
    <s v="ORD075"/>
    <s v="13-05-2026"/>
    <s v="Riya"/>
    <x v="2"/>
    <x v="3"/>
    <s v="Jharkhand"/>
    <s v="Furniture"/>
    <s v="Bookshelf"/>
    <n v="7"/>
    <n v="5133"/>
    <x v="4"/>
    <x v="74"/>
    <n v="6865.12"/>
    <x v="4"/>
  </r>
  <r>
    <s v="ORD076"/>
    <s v="06-04-2026"/>
    <s v="Neha"/>
    <x v="0"/>
    <x v="2"/>
    <s v="Telangana"/>
    <s v="Furniture"/>
    <s v="Desk"/>
    <n v="7"/>
    <n v="7436"/>
    <x v="2"/>
    <x v="75"/>
    <n v="11019.87"/>
    <x v="2"/>
  </r>
  <r>
    <s v="ORD077"/>
    <s v="05-06-2026"/>
    <s v="Karan"/>
    <x v="2"/>
    <x v="0"/>
    <s v="Uttar Pradesh"/>
    <s v="Technology"/>
    <s v="Monitor"/>
    <n v="1"/>
    <n v="24030"/>
    <x v="0"/>
    <x v="76"/>
    <n v="3956.1"/>
    <x v="4"/>
  </r>
  <r>
    <s v="ORD078"/>
    <s v="06-02-2026"/>
    <s v="Priya"/>
    <x v="2"/>
    <x v="3"/>
    <s v="Odisha"/>
    <s v="Furniture"/>
    <s v="Office Chair"/>
    <n v="1"/>
    <n v="12489"/>
    <x v="4"/>
    <x v="77"/>
    <n v="1776.02"/>
    <x v="4"/>
  </r>
  <r>
    <s v="ORD079"/>
    <s v="06-04-2026"/>
    <s v="Rahul"/>
    <x v="1"/>
    <x v="3"/>
    <s v="Odisha"/>
    <s v="Office Supplies"/>
    <s v="Stapler"/>
    <n v="3"/>
    <n v="340"/>
    <x v="3"/>
    <x v="78"/>
    <n v="191.83"/>
    <x v="4"/>
  </r>
  <r>
    <s v="ORD080"/>
    <s v="28-04-2026"/>
    <s v="Vivaan"/>
    <x v="2"/>
    <x v="3"/>
    <s v="West Bengal"/>
    <s v="Furniture"/>
    <s v="Desk"/>
    <n v="2"/>
    <n v="12546"/>
    <x v="0"/>
    <x v="79"/>
    <n v="2162.6999999999998"/>
    <x v="3"/>
  </r>
  <r>
    <s v="ORD081"/>
    <s v="26-03-2026"/>
    <s v="Rahul"/>
    <x v="0"/>
    <x v="0"/>
    <s v="Punjab"/>
    <s v="Technology"/>
    <s v="Keyboard"/>
    <n v="5"/>
    <n v="2369"/>
    <x v="3"/>
    <x v="80"/>
    <n v="2691.01"/>
    <x v="2"/>
  </r>
  <r>
    <s v="ORD082"/>
    <s v="16-02-2026"/>
    <s v="Meera"/>
    <x v="2"/>
    <x v="1"/>
    <s v="Goa"/>
    <s v="Office Supplies"/>
    <s v="Stapler"/>
    <n v="7"/>
    <n v="317"/>
    <x v="3"/>
    <x v="81"/>
    <n v="339.96"/>
    <x v="2"/>
  </r>
  <r>
    <s v="ORD083"/>
    <s v="15-01-2026"/>
    <s v="Aditya"/>
    <x v="1"/>
    <x v="0"/>
    <s v="Delhi"/>
    <s v="Furniture"/>
    <s v="Bookshelf"/>
    <n v="5"/>
    <n v="6879"/>
    <x v="1"/>
    <x v="82"/>
    <n v="5841.61"/>
    <x v="1"/>
  </r>
  <r>
    <s v="ORD084"/>
    <s v="20-01-2026"/>
    <s v="Nikhil"/>
    <x v="0"/>
    <x v="3"/>
    <s v="Odisha"/>
    <s v="Technology"/>
    <s v="Monitor"/>
    <n v="8"/>
    <n v="11068"/>
    <x v="1"/>
    <x v="83"/>
    <n v="11414.92"/>
    <x v="0"/>
  </r>
  <r>
    <s v="ORD085"/>
    <s v="06-06-2026"/>
    <s v="Priya"/>
    <x v="1"/>
    <x v="3"/>
    <s v="Jharkhand"/>
    <s v="Furniture"/>
    <s v="Bookshelf"/>
    <n v="4"/>
    <n v="7170"/>
    <x v="2"/>
    <x v="84"/>
    <n v="2839.48"/>
    <x v="1"/>
  </r>
  <r>
    <s v="ORD086"/>
    <s v="01-07-2026"/>
    <s v="Ishita"/>
    <x v="2"/>
    <x v="2"/>
    <s v="Karnataka"/>
    <s v="Technology"/>
    <s v="Laptop"/>
    <n v="8"/>
    <n v="56315"/>
    <x v="1"/>
    <x v="85"/>
    <n v="91121.45"/>
    <x v="0"/>
  </r>
  <r>
    <s v="ORD087"/>
    <s v="03-05-2026"/>
    <s v="Karan"/>
    <x v="2"/>
    <x v="2"/>
    <s v="Karnataka"/>
    <s v="Technology"/>
    <s v="Monitor"/>
    <n v="4"/>
    <n v="9430"/>
    <x v="2"/>
    <x v="86"/>
    <n v="8013.29"/>
    <x v="1"/>
  </r>
  <r>
    <s v="ORD088"/>
    <s v="13-05-2026"/>
    <s v="Ananya"/>
    <x v="2"/>
    <x v="0"/>
    <s v="Punjab"/>
    <s v="Furniture"/>
    <s v="Office Chair"/>
    <n v="8"/>
    <n v="7102"/>
    <x v="3"/>
    <x v="87"/>
    <n v="12575.45"/>
    <x v="3"/>
  </r>
  <r>
    <s v="ORD089"/>
    <s v="09-05-2026"/>
    <s v="Ishita"/>
    <x v="1"/>
    <x v="2"/>
    <s v="Telangana"/>
    <s v="Office Supplies"/>
    <s v="Pen"/>
    <n v="6"/>
    <n v="26"/>
    <x v="4"/>
    <x v="88"/>
    <n v="21.3"/>
    <x v="0"/>
  </r>
  <r>
    <s v="ORD090"/>
    <s v="19-03-2026"/>
    <s v="Pooja"/>
    <x v="0"/>
    <x v="2"/>
    <s v="Tamil Nadu"/>
    <s v="Office Supplies"/>
    <s v="Printer Paper"/>
    <n v="1"/>
    <n v="504"/>
    <x v="4"/>
    <x v="89"/>
    <n v="52.11"/>
    <x v="1"/>
  </r>
  <r>
    <s v="ORD091"/>
    <s v="05-04-2026"/>
    <s v="Karan"/>
    <x v="1"/>
    <x v="3"/>
    <s v="Jharkhand"/>
    <s v="Technology"/>
    <s v="Laptop"/>
    <n v="3"/>
    <n v="73809"/>
    <x v="2"/>
    <x v="90"/>
    <n v="19241.060000000001"/>
    <x v="4"/>
  </r>
  <r>
    <s v="ORD092"/>
    <s v="22-03-2026"/>
    <s v="Arjun"/>
    <x v="0"/>
    <x v="3"/>
    <s v="Odisha"/>
    <s v="Furniture"/>
    <s v="Office Chair"/>
    <n v="5"/>
    <n v="5829"/>
    <x v="1"/>
    <x v="91"/>
    <n v="6262.21"/>
    <x v="1"/>
  </r>
  <r>
    <s v="ORD093"/>
    <s v="17-06-2026"/>
    <s v="Pooja"/>
    <x v="2"/>
    <x v="1"/>
    <s v="Goa"/>
    <s v="Furniture"/>
    <s v="Table"/>
    <n v="1"/>
    <n v="14557"/>
    <x v="2"/>
    <x v="92"/>
    <n v="2246.75"/>
    <x v="0"/>
  </r>
  <r>
    <s v="ORD094"/>
    <s v="10-05-2026"/>
    <s v="Vikram"/>
    <x v="1"/>
    <x v="0"/>
    <s v="Delhi"/>
    <s v="Furniture"/>
    <s v="Desk"/>
    <n v="5"/>
    <n v="13563"/>
    <x v="1"/>
    <x v="93"/>
    <n v="5645.62"/>
    <x v="2"/>
  </r>
  <r>
    <s v="ORD095"/>
    <s v="02-05-2026"/>
    <s v="Karan"/>
    <x v="2"/>
    <x v="0"/>
    <s v="Punjab"/>
    <s v="Technology"/>
    <s v="Mouse"/>
    <n v="6"/>
    <n v="695"/>
    <x v="0"/>
    <x v="94"/>
    <n v="797.49"/>
    <x v="3"/>
  </r>
  <r>
    <s v="ORD096"/>
    <s v="05-01-2026"/>
    <s v="Kavya"/>
    <x v="2"/>
    <x v="2"/>
    <s v="Telangana"/>
    <s v="Office Supplies"/>
    <s v="Printer Paper"/>
    <n v="3"/>
    <n v="612"/>
    <x v="1"/>
    <x v="95"/>
    <n v="265.58999999999997"/>
    <x v="4"/>
  </r>
  <r>
    <s v="ORD097"/>
    <s v="08-04-2026"/>
    <s v="Ananya"/>
    <x v="1"/>
    <x v="1"/>
    <s v="Rajasthan"/>
    <s v="Office Supplies"/>
    <s v="Notebook"/>
    <n v="8"/>
    <n v="123"/>
    <x v="4"/>
    <x v="96"/>
    <n v="166.64"/>
    <x v="3"/>
  </r>
  <r>
    <s v="ORD098"/>
    <s v="19-06-2026"/>
    <s v="Pooja"/>
    <x v="1"/>
    <x v="0"/>
    <s v="Delhi"/>
    <s v="Technology"/>
    <s v="Laptop"/>
    <n v="8"/>
    <n v="65558"/>
    <x v="4"/>
    <x v="97"/>
    <n v="56750.54"/>
    <x v="1"/>
  </r>
  <r>
    <s v="ORD099"/>
    <s v="06-05-2026"/>
    <s v="Rohan"/>
    <x v="2"/>
    <x v="3"/>
    <s v="Odisha"/>
    <s v="Furniture"/>
    <s v="Bookshelf"/>
    <n v="6"/>
    <n v="8571"/>
    <x v="0"/>
    <x v="98"/>
    <n v="9641.02"/>
    <x v="2"/>
  </r>
  <r>
    <s v="ORD100"/>
    <s v="18-05-2026"/>
    <s v="Rahul"/>
    <x v="1"/>
    <x v="3"/>
    <s v="Bihar"/>
    <s v="Technology"/>
    <s v="Mouse"/>
    <n v="7"/>
    <n v="699"/>
    <x v="2"/>
    <x v="99"/>
    <n v="484.0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14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_D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8" firstHeaderRow="1" firstDataRow="1" firstDataCol="1"/>
  <pivotFields count="14"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1"/>
        <item x="3"/>
        <item x="2"/>
        <item x="0"/>
        <item x="4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" firstHeaderRow="1" firstDataRow="1" firstDataCol="1"/>
  <pivotFields count="14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101">
        <item x="3"/>
        <item x="88"/>
        <item x="51"/>
        <item x="46"/>
        <item x="72"/>
        <item x="27"/>
        <item x="15"/>
        <item x="6"/>
        <item x="89"/>
        <item x="19"/>
        <item x="53"/>
        <item x="9"/>
        <item x="59"/>
        <item x="21"/>
        <item x="5"/>
        <item x="7"/>
        <item x="66"/>
        <item x="96"/>
        <item x="13"/>
        <item x="60"/>
        <item x="78"/>
        <item x="11"/>
        <item x="0"/>
        <item x="69"/>
        <item x="47"/>
        <item x="95"/>
        <item x="70"/>
        <item x="50"/>
        <item x="14"/>
        <item x="30"/>
        <item x="81"/>
        <item x="48"/>
        <item x="34"/>
        <item x="49"/>
        <item x="22"/>
        <item x="40"/>
        <item x="44"/>
        <item x="25"/>
        <item x="61"/>
        <item x="94"/>
        <item x="99"/>
        <item x="43"/>
        <item x="2"/>
        <item x="23"/>
        <item x="16"/>
        <item x="1"/>
        <item x="67"/>
        <item x="55"/>
        <item x="56"/>
        <item x="32"/>
        <item x="63"/>
        <item x="77"/>
        <item x="80"/>
        <item x="24"/>
        <item x="92"/>
        <item x="41"/>
        <item x="71"/>
        <item x="8"/>
        <item x="38"/>
        <item x="76"/>
        <item x="29"/>
        <item x="79"/>
        <item x="84"/>
        <item x="91"/>
        <item x="42"/>
        <item x="74"/>
        <item x="82"/>
        <item x="37"/>
        <item x="17"/>
        <item x="86"/>
        <item x="10"/>
        <item x="26"/>
        <item x="18"/>
        <item x="4"/>
        <item x="75"/>
        <item x="20"/>
        <item x="98"/>
        <item x="73"/>
        <item x="31"/>
        <item x="87"/>
        <item x="68"/>
        <item x="93"/>
        <item x="45"/>
        <item x="54"/>
        <item x="57"/>
        <item x="33"/>
        <item x="83"/>
        <item x="58"/>
        <item x="52"/>
        <item x="62"/>
        <item x="90"/>
        <item x="28"/>
        <item x="35"/>
        <item x="85"/>
        <item x="39"/>
        <item x="36"/>
        <item x="97"/>
        <item x="64"/>
        <item x="65"/>
        <item x="12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B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101" totalsRowShown="0" headerRowDxfId="0" headerRowBorderDxfId="1" tableBorderDxfId="2">
  <autoFilter ref="A1:N101"/>
  <tableColumns count="14">
    <tableColumn id="1" name="Order_ID"/>
    <tableColumn id="2" name="Order_Date"/>
    <tableColumn id="3" name="Customer_Name"/>
    <tableColumn id="4" name="Segment"/>
    <tableColumn id="5" name="Region"/>
    <tableColumn id="6" name="State"/>
    <tableColumn id="7" name="Category"/>
    <tableColumn id="8" name="Product"/>
    <tableColumn id="9" name="Quantity"/>
    <tableColumn id="10" name="Unit_Price"/>
    <tableColumn id="11" name="Discount"/>
    <tableColumn id="12" name="Sales"/>
    <tableColumn id="13" name="Profit"/>
    <tableColumn id="14" name="Payment_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H24" sqref="H24"/>
    </sheetView>
  </sheetViews>
  <sheetFormatPr defaultRowHeight="14.4"/>
  <cols>
    <col min="1" max="1" width="11.6640625" bestFit="1" customWidth="1"/>
  </cols>
  <sheetData>
    <row r="3" spans="1:1">
      <c r="A3" t="s">
        <v>253</v>
      </c>
    </row>
    <row r="4" spans="1:1">
      <c r="A4" s="2">
        <v>5981547.0499999998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E11" sqref="A1:XFD1048576"/>
    </sheetView>
  </sheetViews>
  <sheetFormatPr defaultRowHeight="14.4"/>
  <cols>
    <col min="1" max="1" width="12.109375" bestFit="1" customWidth="1"/>
  </cols>
  <sheetData>
    <row r="3" spans="1:1">
      <c r="A3" t="s">
        <v>255</v>
      </c>
    </row>
    <row r="4" spans="1:1">
      <c r="A4" s="2">
        <v>966529.30999999971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A3" sqref="A3"/>
    </sheetView>
  </sheetViews>
  <sheetFormatPr defaultRowHeight="14.4"/>
  <cols>
    <col min="1" max="1" width="18.6640625" bestFit="1" customWidth="1"/>
  </cols>
  <sheetData>
    <row r="3" spans="1:1">
      <c r="A3" t="s">
        <v>256</v>
      </c>
    </row>
    <row r="4" spans="1:1">
      <c r="A4" s="2">
        <v>100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A3" sqref="A3"/>
    </sheetView>
  </sheetViews>
  <sheetFormatPr defaultRowHeight="14.4"/>
  <cols>
    <col min="1" max="1" width="14.88671875" bestFit="1" customWidth="1"/>
  </cols>
  <sheetData>
    <row r="3" spans="1:1">
      <c r="A3" t="s">
        <v>257</v>
      </c>
    </row>
    <row r="4" spans="1:1">
      <c r="A4" s="2">
        <v>486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11.6640625" bestFit="1" customWidth="1"/>
  </cols>
  <sheetData>
    <row r="3" spans="1:2">
      <c r="A3" s="4" t="s">
        <v>258</v>
      </c>
      <c r="B3" t="s">
        <v>253</v>
      </c>
    </row>
    <row r="4" spans="1:2">
      <c r="A4" s="5" t="s">
        <v>60</v>
      </c>
      <c r="B4" s="2">
        <v>1612869.3</v>
      </c>
    </row>
    <row r="5" spans="1:2">
      <c r="A5" s="5" t="s">
        <v>18</v>
      </c>
      <c r="B5" s="2">
        <v>1907170.55</v>
      </c>
    </row>
    <row r="6" spans="1:2">
      <c r="A6" s="5" t="s">
        <v>47</v>
      </c>
      <c r="B6" s="2">
        <v>1292715.25</v>
      </c>
    </row>
    <row r="7" spans="1:2">
      <c r="A7" s="5" t="s">
        <v>26</v>
      </c>
      <c r="B7" s="2">
        <v>1168791.95</v>
      </c>
    </row>
    <row r="8" spans="1:2">
      <c r="A8" s="5" t="s">
        <v>259</v>
      </c>
      <c r="B8" s="2">
        <v>5981547.0499999998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12.109375" bestFit="1" customWidth="1"/>
  </cols>
  <sheetData>
    <row r="3" spans="1:2">
      <c r="A3" s="4" t="s">
        <v>258</v>
      </c>
      <c r="B3" t="s">
        <v>255</v>
      </c>
    </row>
    <row r="4" spans="1:2">
      <c r="A4" s="5" t="s">
        <v>30</v>
      </c>
      <c r="B4" s="2">
        <v>217857.45</v>
      </c>
    </row>
    <row r="5" spans="1:2">
      <c r="A5" s="5" t="s">
        <v>50</v>
      </c>
      <c r="B5" s="2">
        <v>239600.58000000005</v>
      </c>
    </row>
    <row r="6" spans="1:2">
      <c r="A6" s="5" t="s">
        <v>38</v>
      </c>
      <c r="B6" s="2">
        <v>92645.909999999989</v>
      </c>
    </row>
    <row r="7" spans="1:2">
      <c r="A7" s="5" t="s">
        <v>22</v>
      </c>
      <c r="B7" s="2">
        <v>363776.95</v>
      </c>
    </row>
    <row r="8" spans="1:2">
      <c r="A8" s="5" t="s">
        <v>56</v>
      </c>
      <c r="B8" s="2">
        <v>52648.42</v>
      </c>
    </row>
    <row r="9" spans="1:2">
      <c r="A9" s="5" t="s">
        <v>259</v>
      </c>
      <c r="B9" s="2">
        <v>966529.31000000017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4" sqref="A4"/>
    </sheetView>
  </sheetViews>
  <sheetFormatPr defaultRowHeight="14.4"/>
  <cols>
    <col min="1" max="1" width="12.5546875" customWidth="1"/>
    <col min="2" max="2" width="11.6640625" bestFit="1" customWidth="1"/>
  </cols>
  <sheetData>
    <row r="3" spans="1:2">
      <c r="A3" s="4" t="s">
        <v>258</v>
      </c>
      <c r="B3" t="s">
        <v>253</v>
      </c>
    </row>
    <row r="4" spans="1:2">
      <c r="A4" s="5" t="s">
        <v>17</v>
      </c>
      <c r="B4" s="2">
        <v>2040432.45</v>
      </c>
    </row>
    <row r="5" spans="1:2">
      <c r="A5" s="5" t="s">
        <v>54</v>
      </c>
      <c r="B5" s="2">
        <v>1735205.3499999996</v>
      </c>
    </row>
    <row r="6" spans="1:2">
      <c r="A6" s="5" t="s">
        <v>34</v>
      </c>
      <c r="B6" s="2">
        <v>2205909.25</v>
      </c>
    </row>
    <row r="7" spans="1:2">
      <c r="A7" s="5" t="s">
        <v>259</v>
      </c>
      <c r="B7" s="2">
        <v>5981547.0499999998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8"/>
  <sheetViews>
    <sheetView workbookViewId="0">
      <selection activeCell="H5" sqref="A1:XFD1048576"/>
    </sheetView>
  </sheetViews>
  <sheetFormatPr defaultRowHeight="14.4"/>
  <cols>
    <col min="1" max="1" width="12.5546875" bestFit="1" customWidth="1"/>
    <col min="2" max="2" width="12.109375" bestFit="1" customWidth="1"/>
  </cols>
  <sheetData>
    <row r="3" spans="1:2">
      <c r="A3" s="4" t="s">
        <v>258</v>
      </c>
      <c r="B3" t="s">
        <v>255</v>
      </c>
    </row>
    <row r="4" spans="1:2">
      <c r="A4" s="5">
        <v>0</v>
      </c>
      <c r="B4" s="2">
        <v>452305.34000000008</v>
      </c>
    </row>
    <row r="5" spans="1:2">
      <c r="A5" s="5">
        <v>0.05</v>
      </c>
      <c r="B5" s="2">
        <v>99015.040000000008</v>
      </c>
    </row>
    <row r="6" spans="1:2">
      <c r="A6" s="5">
        <v>0.1</v>
      </c>
      <c r="B6" s="2">
        <v>224140.79999999999</v>
      </c>
    </row>
    <row r="7" spans="1:2">
      <c r="A7" s="5">
        <v>0.15</v>
      </c>
      <c r="B7" s="2">
        <v>94886.45</v>
      </c>
    </row>
    <row r="8" spans="1:2">
      <c r="A8" s="5">
        <v>0.2</v>
      </c>
      <c r="B8" s="2">
        <v>96181.68</v>
      </c>
    </row>
    <row r="9" spans="1:2">
      <c r="A9" s="5" t="s">
        <v>259</v>
      </c>
      <c r="B9" s="2">
        <v>966529.31</v>
      </c>
    </row>
    <row r="18" spans="9:9">
      <c r="I18" t="s">
        <v>260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workbookViewId="0">
      <pane ySplit="1" topLeftCell="A2" activePane="bottomLeft" state="frozen"/>
      <selection pane="bottomLeft" activeCell="C13" sqref="C13"/>
    </sheetView>
  </sheetViews>
  <sheetFormatPr defaultRowHeight="14.4"/>
  <cols>
    <col min="1" max="1" width="10.44140625" customWidth="1"/>
    <col min="2" max="2" width="12.5546875" customWidth="1"/>
    <col min="3" max="3" width="17" customWidth="1"/>
    <col min="4" max="4" width="13" customWidth="1"/>
    <col min="5" max="5" width="8.6640625" customWidth="1"/>
    <col min="6" max="6" width="15" customWidth="1"/>
    <col min="7" max="7" width="17" customWidth="1"/>
    <col min="8" max="8" width="15" customWidth="1"/>
    <col min="9" max="9" width="10.21875" customWidth="1"/>
    <col min="10" max="10" width="12" customWidth="1"/>
    <col min="11" max="11" width="10.21875" customWidth="1"/>
    <col min="12" max="13" width="11" customWidth="1"/>
    <col min="14" max="14" width="18.2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4</v>
      </c>
      <c r="J2">
        <v>297</v>
      </c>
      <c r="K2">
        <v>0.05</v>
      </c>
      <c r="L2">
        <v>1128.5999999999999</v>
      </c>
      <c r="M2">
        <v>187.25</v>
      </c>
      <c r="N2" t="s">
        <v>22</v>
      </c>
    </row>
    <row r="3" spans="1:14">
      <c r="A3" t="s">
        <v>23</v>
      </c>
      <c r="B3" t="s">
        <v>24</v>
      </c>
      <c r="C3" t="s">
        <v>25</v>
      </c>
      <c r="D3" t="s">
        <v>17</v>
      </c>
      <c r="E3" t="s">
        <v>26</v>
      </c>
      <c r="F3" t="s">
        <v>27</v>
      </c>
      <c r="G3" t="s">
        <v>28</v>
      </c>
      <c r="H3" t="s">
        <v>29</v>
      </c>
      <c r="I3">
        <v>1</v>
      </c>
      <c r="J3">
        <v>5763</v>
      </c>
      <c r="K3">
        <v>0.1</v>
      </c>
      <c r="L3">
        <v>5186.7</v>
      </c>
      <c r="M3">
        <v>1162.2</v>
      </c>
      <c r="N3" t="s">
        <v>30</v>
      </c>
    </row>
    <row r="4" spans="1:14">
      <c r="A4" t="s">
        <v>31</v>
      </c>
      <c r="B4" t="s">
        <v>32</v>
      </c>
      <c r="C4" t="s">
        <v>33</v>
      </c>
      <c r="D4" t="s">
        <v>34</v>
      </c>
      <c r="E4" t="s">
        <v>18</v>
      </c>
      <c r="F4" t="s">
        <v>35</v>
      </c>
      <c r="G4" t="s">
        <v>36</v>
      </c>
      <c r="H4" t="s">
        <v>37</v>
      </c>
      <c r="I4">
        <v>6</v>
      </c>
      <c r="J4">
        <v>842</v>
      </c>
      <c r="K4">
        <v>0.1</v>
      </c>
      <c r="L4">
        <v>4546.8</v>
      </c>
      <c r="M4">
        <v>489.47</v>
      </c>
      <c r="N4" t="s">
        <v>38</v>
      </c>
    </row>
    <row r="5" spans="1:14">
      <c r="A5" t="s">
        <v>39</v>
      </c>
      <c r="B5" t="s">
        <v>40</v>
      </c>
      <c r="C5" t="s">
        <v>41</v>
      </c>
      <c r="D5" t="s">
        <v>34</v>
      </c>
      <c r="E5" t="s">
        <v>18</v>
      </c>
      <c r="F5" t="s">
        <v>42</v>
      </c>
      <c r="G5" t="s">
        <v>20</v>
      </c>
      <c r="H5" t="s">
        <v>43</v>
      </c>
      <c r="I5">
        <v>3</v>
      </c>
      <c r="J5">
        <v>14</v>
      </c>
      <c r="K5">
        <v>0.15</v>
      </c>
      <c r="L5">
        <v>35.700000000000003</v>
      </c>
      <c r="M5">
        <v>4.4800000000000004</v>
      </c>
      <c r="N5" t="s">
        <v>38</v>
      </c>
    </row>
    <row r="6" spans="1:14">
      <c r="A6" t="s">
        <v>44</v>
      </c>
      <c r="B6" t="s">
        <v>45</v>
      </c>
      <c r="C6" t="s">
        <v>46</v>
      </c>
      <c r="D6" t="s">
        <v>17</v>
      </c>
      <c r="E6" t="s">
        <v>47</v>
      </c>
      <c r="F6" t="s">
        <v>48</v>
      </c>
      <c r="G6" t="s">
        <v>28</v>
      </c>
      <c r="H6" t="s">
        <v>49</v>
      </c>
      <c r="I6">
        <v>3</v>
      </c>
      <c r="J6">
        <v>14577</v>
      </c>
      <c r="K6">
        <v>0.05</v>
      </c>
      <c r="L6">
        <v>41544.449999999997</v>
      </c>
      <c r="M6">
        <v>6922.11</v>
      </c>
      <c r="N6" t="s">
        <v>50</v>
      </c>
    </row>
    <row r="7" spans="1:14">
      <c r="A7" t="s">
        <v>51</v>
      </c>
      <c r="B7" t="s">
        <v>52</v>
      </c>
      <c r="C7" t="s">
        <v>53</v>
      </c>
      <c r="D7" t="s">
        <v>54</v>
      </c>
      <c r="E7" t="s">
        <v>47</v>
      </c>
      <c r="F7" t="s">
        <v>48</v>
      </c>
      <c r="G7" t="s">
        <v>20</v>
      </c>
      <c r="H7" t="s">
        <v>55</v>
      </c>
      <c r="I7">
        <v>7</v>
      </c>
      <c r="J7">
        <v>109</v>
      </c>
      <c r="K7">
        <v>0.1</v>
      </c>
      <c r="L7">
        <v>686.7</v>
      </c>
      <c r="M7">
        <v>67.959999999999994</v>
      </c>
      <c r="N7" t="s">
        <v>56</v>
      </c>
    </row>
    <row r="8" spans="1:14">
      <c r="A8" t="s">
        <v>57</v>
      </c>
      <c r="B8" t="s">
        <v>58</v>
      </c>
      <c r="C8" t="s">
        <v>59</v>
      </c>
      <c r="D8" t="s">
        <v>17</v>
      </c>
      <c r="E8" t="s">
        <v>60</v>
      </c>
      <c r="F8" t="s">
        <v>61</v>
      </c>
      <c r="G8" t="s">
        <v>20</v>
      </c>
      <c r="H8" t="s">
        <v>55</v>
      </c>
      <c r="I8">
        <v>5</v>
      </c>
      <c r="J8">
        <v>80</v>
      </c>
      <c r="K8">
        <v>0</v>
      </c>
      <c r="L8">
        <v>400</v>
      </c>
      <c r="M8">
        <v>95.18</v>
      </c>
      <c r="N8" t="s">
        <v>50</v>
      </c>
    </row>
    <row r="9" spans="1:14">
      <c r="A9" t="s">
        <v>62</v>
      </c>
      <c r="B9" t="s">
        <v>63</v>
      </c>
      <c r="C9" t="s">
        <v>64</v>
      </c>
      <c r="D9" t="s">
        <v>54</v>
      </c>
      <c r="E9" t="s">
        <v>18</v>
      </c>
      <c r="F9" t="s">
        <v>19</v>
      </c>
      <c r="G9" t="s">
        <v>20</v>
      </c>
      <c r="H9" t="s">
        <v>65</v>
      </c>
      <c r="I9">
        <v>2</v>
      </c>
      <c r="J9">
        <v>376</v>
      </c>
      <c r="K9">
        <v>0.05</v>
      </c>
      <c r="L9">
        <v>714.4</v>
      </c>
      <c r="M9">
        <v>143.74</v>
      </c>
      <c r="N9" t="s">
        <v>22</v>
      </c>
    </row>
    <row r="10" spans="1:14">
      <c r="A10" t="s">
        <v>66</v>
      </c>
      <c r="B10" t="s">
        <v>67</v>
      </c>
      <c r="C10" t="s">
        <v>68</v>
      </c>
      <c r="D10" t="s">
        <v>17</v>
      </c>
      <c r="E10" t="s">
        <v>26</v>
      </c>
      <c r="F10" t="s">
        <v>69</v>
      </c>
      <c r="G10" t="s">
        <v>36</v>
      </c>
      <c r="H10" t="s">
        <v>70</v>
      </c>
      <c r="I10">
        <v>2</v>
      </c>
      <c r="J10">
        <v>9344</v>
      </c>
      <c r="K10">
        <v>0</v>
      </c>
      <c r="L10">
        <v>18688</v>
      </c>
      <c r="M10">
        <v>4226.07</v>
      </c>
      <c r="N10" t="s">
        <v>38</v>
      </c>
    </row>
    <row r="11" spans="1:14">
      <c r="A11" t="s">
        <v>71</v>
      </c>
      <c r="B11" t="s">
        <v>72</v>
      </c>
      <c r="C11" t="s">
        <v>73</v>
      </c>
      <c r="D11" t="s">
        <v>17</v>
      </c>
      <c r="E11" t="s">
        <v>26</v>
      </c>
      <c r="F11" t="s">
        <v>27</v>
      </c>
      <c r="G11" t="s">
        <v>20</v>
      </c>
      <c r="H11" t="s">
        <v>43</v>
      </c>
      <c r="I11">
        <v>8</v>
      </c>
      <c r="J11">
        <v>64</v>
      </c>
      <c r="K11">
        <v>0</v>
      </c>
      <c r="L11">
        <v>512</v>
      </c>
      <c r="M11">
        <v>99.57</v>
      </c>
      <c r="N11" t="s">
        <v>30</v>
      </c>
    </row>
    <row r="12" spans="1:14">
      <c r="A12" t="s">
        <v>74</v>
      </c>
      <c r="B12" t="s">
        <v>45</v>
      </c>
      <c r="C12" t="s">
        <v>59</v>
      </c>
      <c r="D12" t="s">
        <v>17</v>
      </c>
      <c r="E12" t="s">
        <v>60</v>
      </c>
      <c r="F12" t="s">
        <v>75</v>
      </c>
      <c r="G12" t="s">
        <v>36</v>
      </c>
      <c r="H12" t="s">
        <v>70</v>
      </c>
      <c r="I12">
        <v>4</v>
      </c>
      <c r="J12">
        <v>11296</v>
      </c>
      <c r="K12">
        <v>0.2</v>
      </c>
      <c r="L12">
        <v>36147.199999999997</v>
      </c>
      <c r="M12">
        <v>8029.19</v>
      </c>
      <c r="N12" t="s">
        <v>30</v>
      </c>
    </row>
    <row r="13" spans="1:14">
      <c r="A13" t="s">
        <v>76</v>
      </c>
      <c r="B13" t="s">
        <v>77</v>
      </c>
      <c r="C13" t="s">
        <v>41</v>
      </c>
      <c r="D13" t="s">
        <v>34</v>
      </c>
      <c r="E13" t="s">
        <v>26</v>
      </c>
      <c r="F13" t="s">
        <v>78</v>
      </c>
      <c r="G13" t="s">
        <v>36</v>
      </c>
      <c r="H13" t="s">
        <v>79</v>
      </c>
      <c r="I13">
        <v>1</v>
      </c>
      <c r="J13">
        <v>1199</v>
      </c>
      <c r="K13">
        <v>0.1</v>
      </c>
      <c r="L13">
        <v>1079.0999999999999</v>
      </c>
      <c r="M13">
        <v>126.26</v>
      </c>
      <c r="N13" t="s">
        <v>22</v>
      </c>
    </row>
    <row r="14" spans="1:14">
      <c r="A14" t="s">
        <v>80</v>
      </c>
      <c r="B14" t="s">
        <v>81</v>
      </c>
      <c r="C14" t="s">
        <v>82</v>
      </c>
      <c r="D14" t="s">
        <v>17</v>
      </c>
      <c r="E14" t="s">
        <v>18</v>
      </c>
      <c r="F14" t="s">
        <v>83</v>
      </c>
      <c r="G14" t="s">
        <v>36</v>
      </c>
      <c r="H14" t="s">
        <v>84</v>
      </c>
      <c r="I14">
        <v>8</v>
      </c>
      <c r="J14">
        <v>77954</v>
      </c>
      <c r="K14">
        <v>0</v>
      </c>
      <c r="L14">
        <v>623632</v>
      </c>
      <c r="M14">
        <v>121474.87</v>
      </c>
      <c r="N14" t="s">
        <v>22</v>
      </c>
    </row>
    <row r="15" spans="1:14">
      <c r="A15" t="s">
        <v>85</v>
      </c>
      <c r="B15" t="s">
        <v>86</v>
      </c>
      <c r="C15" t="s">
        <v>41</v>
      </c>
      <c r="D15" t="s">
        <v>17</v>
      </c>
      <c r="E15" t="s">
        <v>47</v>
      </c>
      <c r="F15" t="s">
        <v>87</v>
      </c>
      <c r="G15" t="s">
        <v>20</v>
      </c>
      <c r="H15" t="s">
        <v>55</v>
      </c>
      <c r="I15">
        <v>7</v>
      </c>
      <c r="J15">
        <v>113</v>
      </c>
      <c r="K15">
        <v>0</v>
      </c>
      <c r="L15">
        <v>791</v>
      </c>
      <c r="M15">
        <v>64.53</v>
      </c>
      <c r="N15" t="s">
        <v>56</v>
      </c>
    </row>
    <row r="16" spans="1:14">
      <c r="A16" t="s">
        <v>88</v>
      </c>
      <c r="B16" t="s">
        <v>89</v>
      </c>
      <c r="C16" t="s">
        <v>73</v>
      </c>
      <c r="D16" t="s">
        <v>17</v>
      </c>
      <c r="E16" t="s">
        <v>47</v>
      </c>
      <c r="F16" t="s">
        <v>90</v>
      </c>
      <c r="G16" t="s">
        <v>36</v>
      </c>
      <c r="H16" t="s">
        <v>37</v>
      </c>
      <c r="I16">
        <v>2</v>
      </c>
      <c r="J16">
        <v>1283</v>
      </c>
      <c r="K16">
        <v>0.2</v>
      </c>
      <c r="L16">
        <v>2052.8000000000002</v>
      </c>
      <c r="M16">
        <v>268.7</v>
      </c>
      <c r="N16" t="s">
        <v>38</v>
      </c>
    </row>
    <row r="17" spans="1:14">
      <c r="A17" t="s">
        <v>91</v>
      </c>
      <c r="B17" t="s">
        <v>92</v>
      </c>
      <c r="C17" t="s">
        <v>46</v>
      </c>
      <c r="D17" t="s">
        <v>17</v>
      </c>
      <c r="E17" t="s">
        <v>18</v>
      </c>
      <c r="F17" t="s">
        <v>19</v>
      </c>
      <c r="G17" t="s">
        <v>20</v>
      </c>
      <c r="H17" t="s">
        <v>43</v>
      </c>
      <c r="I17">
        <v>5</v>
      </c>
      <c r="J17">
        <v>72</v>
      </c>
      <c r="K17">
        <v>0</v>
      </c>
      <c r="L17">
        <v>360</v>
      </c>
      <c r="M17">
        <v>67.62</v>
      </c>
      <c r="N17" t="s">
        <v>38</v>
      </c>
    </row>
    <row r="18" spans="1:14">
      <c r="A18" t="s">
        <v>93</v>
      </c>
      <c r="B18" t="s">
        <v>94</v>
      </c>
      <c r="C18" t="s">
        <v>46</v>
      </c>
      <c r="D18" t="s">
        <v>54</v>
      </c>
      <c r="E18" t="s">
        <v>47</v>
      </c>
      <c r="F18" t="s">
        <v>90</v>
      </c>
      <c r="G18" t="s">
        <v>36</v>
      </c>
      <c r="H18" t="s">
        <v>79</v>
      </c>
      <c r="I18">
        <v>7</v>
      </c>
      <c r="J18">
        <v>705</v>
      </c>
      <c r="K18">
        <v>0.05</v>
      </c>
      <c r="L18">
        <v>4688.25</v>
      </c>
      <c r="M18">
        <v>408.4</v>
      </c>
      <c r="N18" t="s">
        <v>50</v>
      </c>
    </row>
    <row r="19" spans="1:14">
      <c r="A19" t="s">
        <v>95</v>
      </c>
      <c r="B19" t="s">
        <v>96</v>
      </c>
      <c r="C19" t="s">
        <v>97</v>
      </c>
      <c r="D19" t="s">
        <v>17</v>
      </c>
      <c r="E19" t="s">
        <v>47</v>
      </c>
      <c r="F19" t="s">
        <v>87</v>
      </c>
      <c r="G19" t="s">
        <v>28</v>
      </c>
      <c r="H19" t="s">
        <v>49</v>
      </c>
      <c r="I19">
        <v>3</v>
      </c>
      <c r="J19">
        <v>10442</v>
      </c>
      <c r="K19">
        <v>0</v>
      </c>
      <c r="L19">
        <v>31326</v>
      </c>
      <c r="M19">
        <v>4543.28</v>
      </c>
      <c r="N19" t="s">
        <v>50</v>
      </c>
    </row>
    <row r="20" spans="1:14">
      <c r="A20" t="s">
        <v>98</v>
      </c>
      <c r="B20" t="s">
        <v>99</v>
      </c>
      <c r="C20" t="s">
        <v>100</v>
      </c>
      <c r="D20" t="s">
        <v>17</v>
      </c>
      <c r="E20" t="s">
        <v>26</v>
      </c>
      <c r="F20" t="s">
        <v>101</v>
      </c>
      <c r="G20" t="s">
        <v>28</v>
      </c>
      <c r="H20" t="s">
        <v>102</v>
      </c>
      <c r="I20">
        <v>4</v>
      </c>
      <c r="J20">
        <v>11564</v>
      </c>
      <c r="K20">
        <v>0.15</v>
      </c>
      <c r="L20">
        <v>39317.599999999999</v>
      </c>
      <c r="M20">
        <v>7687.3</v>
      </c>
      <c r="N20" t="s">
        <v>56</v>
      </c>
    </row>
    <row r="21" spans="1:14">
      <c r="A21" t="s">
        <v>103</v>
      </c>
      <c r="B21" t="s">
        <v>52</v>
      </c>
      <c r="C21" t="s">
        <v>104</v>
      </c>
      <c r="D21" t="s">
        <v>34</v>
      </c>
      <c r="E21" t="s">
        <v>60</v>
      </c>
      <c r="F21" t="s">
        <v>61</v>
      </c>
      <c r="G21" t="s">
        <v>20</v>
      </c>
      <c r="H21" t="s">
        <v>21</v>
      </c>
      <c r="I21">
        <v>1</v>
      </c>
      <c r="J21">
        <v>545</v>
      </c>
      <c r="K21">
        <v>0.1</v>
      </c>
      <c r="L21">
        <v>490.5</v>
      </c>
      <c r="M21">
        <v>42.94</v>
      </c>
      <c r="N21" t="s">
        <v>22</v>
      </c>
    </row>
    <row r="22" spans="1:14">
      <c r="A22" t="s">
        <v>105</v>
      </c>
      <c r="B22" t="s">
        <v>106</v>
      </c>
      <c r="C22" t="s">
        <v>82</v>
      </c>
      <c r="D22" t="s">
        <v>34</v>
      </c>
      <c r="E22" t="s">
        <v>47</v>
      </c>
      <c r="F22" t="s">
        <v>90</v>
      </c>
      <c r="G22" t="s">
        <v>28</v>
      </c>
      <c r="H22" t="s">
        <v>107</v>
      </c>
      <c r="I22">
        <v>6</v>
      </c>
      <c r="J22">
        <v>9920</v>
      </c>
      <c r="K22">
        <v>0.2</v>
      </c>
      <c r="L22">
        <v>47616</v>
      </c>
      <c r="M22">
        <v>4839.6400000000003</v>
      </c>
      <c r="N22" t="s">
        <v>50</v>
      </c>
    </row>
    <row r="23" spans="1:14">
      <c r="A23" t="s">
        <v>108</v>
      </c>
      <c r="B23" t="s">
        <v>109</v>
      </c>
      <c r="C23" t="s">
        <v>68</v>
      </c>
      <c r="D23" t="s">
        <v>34</v>
      </c>
      <c r="E23" t="s">
        <v>60</v>
      </c>
      <c r="F23" t="s">
        <v>110</v>
      </c>
      <c r="G23" t="s">
        <v>20</v>
      </c>
      <c r="H23" t="s">
        <v>55</v>
      </c>
      <c r="I23">
        <v>5</v>
      </c>
      <c r="J23">
        <v>134</v>
      </c>
      <c r="K23">
        <v>0.05</v>
      </c>
      <c r="L23">
        <v>636.5</v>
      </c>
      <c r="M23">
        <v>122.21</v>
      </c>
      <c r="N23" t="s">
        <v>22</v>
      </c>
    </row>
    <row r="24" spans="1:14">
      <c r="A24" t="s">
        <v>111</v>
      </c>
      <c r="B24" t="s">
        <v>112</v>
      </c>
      <c r="C24" t="s">
        <v>97</v>
      </c>
      <c r="D24" t="s">
        <v>54</v>
      </c>
      <c r="E24" t="s">
        <v>60</v>
      </c>
      <c r="F24" t="s">
        <v>75</v>
      </c>
      <c r="G24" t="s">
        <v>36</v>
      </c>
      <c r="H24" t="s">
        <v>37</v>
      </c>
      <c r="I24">
        <v>4</v>
      </c>
      <c r="J24">
        <v>750</v>
      </c>
      <c r="K24">
        <v>0.05</v>
      </c>
      <c r="L24">
        <v>2850</v>
      </c>
      <c r="M24">
        <v>576.04</v>
      </c>
      <c r="N24" t="s">
        <v>50</v>
      </c>
    </row>
    <row r="25" spans="1:14">
      <c r="A25" t="s">
        <v>113</v>
      </c>
      <c r="B25" t="s">
        <v>114</v>
      </c>
      <c r="C25" t="s">
        <v>100</v>
      </c>
      <c r="D25" t="s">
        <v>54</v>
      </c>
      <c r="E25" t="s">
        <v>47</v>
      </c>
      <c r="F25" t="s">
        <v>87</v>
      </c>
      <c r="G25" t="s">
        <v>36</v>
      </c>
      <c r="H25" t="s">
        <v>79</v>
      </c>
      <c r="I25">
        <v>4</v>
      </c>
      <c r="J25">
        <v>1460</v>
      </c>
      <c r="K25">
        <v>0.2</v>
      </c>
      <c r="L25">
        <v>4672</v>
      </c>
      <c r="M25">
        <v>1158.3800000000001</v>
      </c>
      <c r="N25" t="s">
        <v>22</v>
      </c>
    </row>
    <row r="26" spans="1:14">
      <c r="A26" t="s">
        <v>115</v>
      </c>
      <c r="B26" t="s">
        <v>116</v>
      </c>
      <c r="C26" t="s">
        <v>100</v>
      </c>
      <c r="D26" t="s">
        <v>34</v>
      </c>
      <c r="E26" t="s">
        <v>26</v>
      </c>
      <c r="F26" t="s">
        <v>78</v>
      </c>
      <c r="G26" t="s">
        <v>36</v>
      </c>
      <c r="H26" t="s">
        <v>79</v>
      </c>
      <c r="I26">
        <v>8</v>
      </c>
      <c r="J26">
        <v>1705</v>
      </c>
      <c r="K26">
        <v>0.1</v>
      </c>
      <c r="L26">
        <v>12276</v>
      </c>
      <c r="M26">
        <v>1471.45</v>
      </c>
      <c r="N26" t="s">
        <v>56</v>
      </c>
    </row>
    <row r="27" spans="1:14">
      <c r="A27" t="s">
        <v>117</v>
      </c>
      <c r="B27" t="s">
        <v>118</v>
      </c>
      <c r="C27" t="s">
        <v>104</v>
      </c>
      <c r="D27" t="s">
        <v>34</v>
      </c>
      <c r="E27" t="s">
        <v>47</v>
      </c>
      <c r="F27" t="s">
        <v>119</v>
      </c>
      <c r="G27" t="s">
        <v>36</v>
      </c>
      <c r="H27" t="s">
        <v>79</v>
      </c>
      <c r="I27">
        <v>3</v>
      </c>
      <c r="J27">
        <v>1234</v>
      </c>
      <c r="K27">
        <v>0.15</v>
      </c>
      <c r="L27">
        <v>3146.7</v>
      </c>
      <c r="M27">
        <v>735.77</v>
      </c>
      <c r="N27" t="s">
        <v>30</v>
      </c>
    </row>
    <row r="28" spans="1:14">
      <c r="A28" t="s">
        <v>120</v>
      </c>
      <c r="B28" t="s">
        <v>121</v>
      </c>
      <c r="C28" t="s">
        <v>53</v>
      </c>
      <c r="D28" t="s">
        <v>54</v>
      </c>
      <c r="E28" t="s">
        <v>26</v>
      </c>
      <c r="F28" t="s">
        <v>69</v>
      </c>
      <c r="G28" t="s">
        <v>28</v>
      </c>
      <c r="H28" t="s">
        <v>29</v>
      </c>
      <c r="I28">
        <v>7</v>
      </c>
      <c r="J28">
        <v>5797</v>
      </c>
      <c r="K28">
        <v>0.1</v>
      </c>
      <c r="L28">
        <v>36521.1</v>
      </c>
      <c r="M28">
        <v>7074.45</v>
      </c>
      <c r="N28" t="s">
        <v>50</v>
      </c>
    </row>
    <row r="29" spans="1:14">
      <c r="A29" t="s">
        <v>122</v>
      </c>
      <c r="B29" t="s">
        <v>123</v>
      </c>
      <c r="C29" t="s">
        <v>25</v>
      </c>
      <c r="D29" t="s">
        <v>54</v>
      </c>
      <c r="E29" t="s">
        <v>18</v>
      </c>
      <c r="F29" t="s">
        <v>35</v>
      </c>
      <c r="G29" t="s">
        <v>20</v>
      </c>
      <c r="H29" t="s">
        <v>55</v>
      </c>
      <c r="I29">
        <v>2</v>
      </c>
      <c r="J29">
        <v>163</v>
      </c>
      <c r="K29">
        <v>0.1</v>
      </c>
      <c r="L29">
        <v>293.39999999999998</v>
      </c>
      <c r="M29">
        <v>61.44</v>
      </c>
      <c r="N29" t="s">
        <v>38</v>
      </c>
    </row>
    <row r="30" spans="1:14">
      <c r="A30" t="s">
        <v>124</v>
      </c>
      <c r="B30" t="s">
        <v>125</v>
      </c>
      <c r="C30" t="s">
        <v>73</v>
      </c>
      <c r="D30" t="s">
        <v>34</v>
      </c>
      <c r="E30" t="s">
        <v>18</v>
      </c>
      <c r="F30" t="s">
        <v>35</v>
      </c>
      <c r="G30" t="s">
        <v>36</v>
      </c>
      <c r="H30" t="s">
        <v>84</v>
      </c>
      <c r="I30">
        <v>6</v>
      </c>
      <c r="J30">
        <v>59694</v>
      </c>
      <c r="K30">
        <v>0.05</v>
      </c>
      <c r="L30">
        <v>340255.8</v>
      </c>
      <c r="M30">
        <v>34521.53</v>
      </c>
      <c r="N30" t="s">
        <v>50</v>
      </c>
    </row>
    <row r="31" spans="1:14">
      <c r="A31" t="s">
        <v>126</v>
      </c>
      <c r="B31" t="s">
        <v>127</v>
      </c>
      <c r="C31" t="s">
        <v>128</v>
      </c>
      <c r="D31" t="s">
        <v>17</v>
      </c>
      <c r="E31" t="s">
        <v>26</v>
      </c>
      <c r="F31" t="s">
        <v>101</v>
      </c>
      <c r="G31" t="s">
        <v>28</v>
      </c>
      <c r="H31" t="s">
        <v>102</v>
      </c>
      <c r="I31">
        <v>2</v>
      </c>
      <c r="J31">
        <v>12111</v>
      </c>
      <c r="K31">
        <v>0.05</v>
      </c>
      <c r="L31">
        <v>23010.9</v>
      </c>
      <c r="M31">
        <v>2239.4899999999998</v>
      </c>
      <c r="N31" t="s">
        <v>22</v>
      </c>
    </row>
    <row r="32" spans="1:14">
      <c r="A32" t="s">
        <v>129</v>
      </c>
      <c r="B32" t="s">
        <v>52</v>
      </c>
      <c r="C32" t="s">
        <v>53</v>
      </c>
      <c r="D32" t="s">
        <v>34</v>
      </c>
      <c r="E32" t="s">
        <v>18</v>
      </c>
      <c r="F32" t="s">
        <v>83</v>
      </c>
      <c r="G32" t="s">
        <v>20</v>
      </c>
      <c r="H32" t="s">
        <v>65</v>
      </c>
      <c r="I32">
        <v>6</v>
      </c>
      <c r="J32">
        <v>425</v>
      </c>
      <c r="K32">
        <v>0.15</v>
      </c>
      <c r="L32">
        <v>2167.5</v>
      </c>
      <c r="M32">
        <v>434.03</v>
      </c>
      <c r="N32" t="s">
        <v>22</v>
      </c>
    </row>
    <row r="33" spans="1:14">
      <c r="A33" t="s">
        <v>130</v>
      </c>
      <c r="B33" t="s">
        <v>131</v>
      </c>
      <c r="C33" t="s">
        <v>97</v>
      </c>
      <c r="D33" t="s">
        <v>17</v>
      </c>
      <c r="E33" t="s">
        <v>60</v>
      </c>
      <c r="F33" t="s">
        <v>110</v>
      </c>
      <c r="G33" t="s">
        <v>28</v>
      </c>
      <c r="H33" t="s">
        <v>49</v>
      </c>
      <c r="I33">
        <v>5</v>
      </c>
      <c r="J33">
        <v>12613</v>
      </c>
      <c r="K33">
        <v>0.15</v>
      </c>
      <c r="L33">
        <v>53605.25</v>
      </c>
      <c r="M33">
        <v>12043.06</v>
      </c>
      <c r="N33" t="s">
        <v>38</v>
      </c>
    </row>
    <row r="34" spans="1:14">
      <c r="A34" t="s">
        <v>132</v>
      </c>
      <c r="B34" t="s">
        <v>133</v>
      </c>
      <c r="C34" t="s">
        <v>134</v>
      </c>
      <c r="D34" t="s">
        <v>54</v>
      </c>
      <c r="E34" t="s">
        <v>60</v>
      </c>
      <c r="F34" t="s">
        <v>135</v>
      </c>
      <c r="G34" t="s">
        <v>28</v>
      </c>
      <c r="H34" t="s">
        <v>29</v>
      </c>
      <c r="I34">
        <v>1</v>
      </c>
      <c r="J34">
        <v>8002</v>
      </c>
      <c r="K34">
        <v>0.15</v>
      </c>
      <c r="L34">
        <v>6801.7</v>
      </c>
      <c r="M34">
        <v>1062.3599999999999</v>
      </c>
      <c r="N34" t="s">
        <v>50</v>
      </c>
    </row>
    <row r="35" spans="1:14">
      <c r="A35" t="s">
        <v>136</v>
      </c>
      <c r="B35" t="s">
        <v>137</v>
      </c>
      <c r="C35" t="s">
        <v>73</v>
      </c>
      <c r="D35" t="s">
        <v>34</v>
      </c>
      <c r="E35" t="s">
        <v>26</v>
      </c>
      <c r="F35" t="s">
        <v>27</v>
      </c>
      <c r="G35" t="s">
        <v>28</v>
      </c>
      <c r="H35" t="s">
        <v>29</v>
      </c>
      <c r="I35">
        <v>8</v>
      </c>
      <c r="J35">
        <v>9757</v>
      </c>
      <c r="K35">
        <v>0</v>
      </c>
      <c r="L35">
        <v>78056</v>
      </c>
      <c r="M35">
        <v>15815.58</v>
      </c>
      <c r="N35" t="s">
        <v>22</v>
      </c>
    </row>
    <row r="36" spans="1:14">
      <c r="A36" t="s">
        <v>138</v>
      </c>
      <c r="B36" t="s">
        <v>139</v>
      </c>
      <c r="C36" t="s">
        <v>46</v>
      </c>
      <c r="D36" t="s">
        <v>34</v>
      </c>
      <c r="E36" t="s">
        <v>47</v>
      </c>
      <c r="F36" t="s">
        <v>119</v>
      </c>
      <c r="G36" t="s">
        <v>36</v>
      </c>
      <c r="H36" t="s">
        <v>79</v>
      </c>
      <c r="I36">
        <v>5</v>
      </c>
      <c r="J36">
        <v>605</v>
      </c>
      <c r="K36">
        <v>0.2</v>
      </c>
      <c r="L36">
        <v>2420</v>
      </c>
      <c r="M36">
        <v>245.68</v>
      </c>
      <c r="N36" t="s">
        <v>38</v>
      </c>
    </row>
    <row r="37" spans="1:14">
      <c r="A37" t="s">
        <v>140</v>
      </c>
      <c r="B37" t="s">
        <v>141</v>
      </c>
      <c r="C37" t="s">
        <v>46</v>
      </c>
      <c r="D37" t="s">
        <v>17</v>
      </c>
      <c r="E37" t="s">
        <v>47</v>
      </c>
      <c r="F37" t="s">
        <v>48</v>
      </c>
      <c r="G37" t="s">
        <v>36</v>
      </c>
      <c r="H37" t="s">
        <v>84</v>
      </c>
      <c r="I37">
        <v>5</v>
      </c>
      <c r="J37">
        <v>75762</v>
      </c>
      <c r="K37">
        <v>0</v>
      </c>
      <c r="L37">
        <v>378810</v>
      </c>
      <c r="M37">
        <v>67463.64</v>
      </c>
      <c r="N37" t="s">
        <v>50</v>
      </c>
    </row>
    <row r="38" spans="1:14">
      <c r="A38" t="s">
        <v>142</v>
      </c>
      <c r="B38" t="s">
        <v>143</v>
      </c>
      <c r="C38" t="s">
        <v>33</v>
      </c>
      <c r="D38" t="s">
        <v>34</v>
      </c>
      <c r="E38" t="s">
        <v>60</v>
      </c>
      <c r="F38" t="s">
        <v>75</v>
      </c>
      <c r="G38" t="s">
        <v>36</v>
      </c>
      <c r="H38" t="s">
        <v>84</v>
      </c>
      <c r="I38">
        <v>7</v>
      </c>
      <c r="J38">
        <v>59790</v>
      </c>
      <c r="K38">
        <v>0</v>
      </c>
      <c r="L38">
        <v>418530</v>
      </c>
      <c r="M38">
        <v>76857.7</v>
      </c>
      <c r="N38" t="s">
        <v>50</v>
      </c>
    </row>
    <row r="39" spans="1:14">
      <c r="A39" t="s">
        <v>144</v>
      </c>
      <c r="B39" t="s">
        <v>145</v>
      </c>
      <c r="C39" t="s">
        <v>134</v>
      </c>
      <c r="D39" t="s">
        <v>34</v>
      </c>
      <c r="E39" t="s">
        <v>60</v>
      </c>
      <c r="F39" t="s">
        <v>75</v>
      </c>
      <c r="G39" t="s">
        <v>36</v>
      </c>
      <c r="H39" t="s">
        <v>70</v>
      </c>
      <c r="I39">
        <v>3</v>
      </c>
      <c r="J39">
        <v>11564</v>
      </c>
      <c r="K39">
        <v>0.1</v>
      </c>
      <c r="L39">
        <v>31222.799999999999</v>
      </c>
      <c r="M39">
        <v>6229.19</v>
      </c>
      <c r="N39" t="s">
        <v>50</v>
      </c>
    </row>
    <row r="40" spans="1:14">
      <c r="A40" t="s">
        <v>146</v>
      </c>
      <c r="B40" t="s">
        <v>147</v>
      </c>
      <c r="C40" t="s">
        <v>82</v>
      </c>
      <c r="D40" t="s">
        <v>54</v>
      </c>
      <c r="E40" t="s">
        <v>60</v>
      </c>
      <c r="F40" t="s">
        <v>61</v>
      </c>
      <c r="G40" t="s">
        <v>28</v>
      </c>
      <c r="H40" t="s">
        <v>107</v>
      </c>
      <c r="I40">
        <v>4</v>
      </c>
      <c r="J40">
        <v>6169</v>
      </c>
      <c r="K40">
        <v>0.15</v>
      </c>
      <c r="L40">
        <v>20974.6</v>
      </c>
      <c r="M40">
        <v>4133.57</v>
      </c>
      <c r="N40" t="s">
        <v>22</v>
      </c>
    </row>
    <row r="41" spans="1:14">
      <c r="A41" t="s">
        <v>148</v>
      </c>
      <c r="B41" t="s">
        <v>149</v>
      </c>
      <c r="C41" t="s">
        <v>97</v>
      </c>
      <c r="D41" t="s">
        <v>34</v>
      </c>
      <c r="E41" t="s">
        <v>26</v>
      </c>
      <c r="F41" t="s">
        <v>78</v>
      </c>
      <c r="G41" t="s">
        <v>36</v>
      </c>
      <c r="H41" t="s">
        <v>84</v>
      </c>
      <c r="I41">
        <v>7</v>
      </c>
      <c r="J41">
        <v>66123</v>
      </c>
      <c r="K41">
        <v>0.1</v>
      </c>
      <c r="L41">
        <v>416574.9</v>
      </c>
      <c r="M41">
        <v>74134.5</v>
      </c>
      <c r="N41" t="s">
        <v>30</v>
      </c>
    </row>
    <row r="42" spans="1:14">
      <c r="A42" t="s">
        <v>150</v>
      </c>
      <c r="B42" t="s">
        <v>63</v>
      </c>
      <c r="C42" t="s">
        <v>16</v>
      </c>
      <c r="D42" t="s">
        <v>17</v>
      </c>
      <c r="E42" t="s">
        <v>60</v>
      </c>
      <c r="F42" t="s">
        <v>61</v>
      </c>
      <c r="G42" t="s">
        <v>20</v>
      </c>
      <c r="H42" t="s">
        <v>65</v>
      </c>
      <c r="I42">
        <v>8</v>
      </c>
      <c r="J42">
        <v>455</v>
      </c>
      <c r="K42">
        <v>0.15</v>
      </c>
      <c r="L42">
        <v>3094</v>
      </c>
      <c r="M42">
        <v>399.12</v>
      </c>
      <c r="N42" t="s">
        <v>30</v>
      </c>
    </row>
    <row r="43" spans="1:14">
      <c r="A43" t="s">
        <v>151</v>
      </c>
      <c r="B43" t="s">
        <v>152</v>
      </c>
      <c r="C43" t="s">
        <v>33</v>
      </c>
      <c r="D43" t="s">
        <v>54</v>
      </c>
      <c r="E43" t="s">
        <v>18</v>
      </c>
      <c r="F43" t="s">
        <v>83</v>
      </c>
      <c r="G43" t="s">
        <v>28</v>
      </c>
      <c r="H43" t="s">
        <v>29</v>
      </c>
      <c r="I43">
        <v>2</v>
      </c>
      <c r="J43">
        <v>7385</v>
      </c>
      <c r="K43">
        <v>0.15</v>
      </c>
      <c r="L43">
        <v>12554.5</v>
      </c>
      <c r="M43">
        <v>2339.15</v>
      </c>
      <c r="N43" t="s">
        <v>22</v>
      </c>
    </row>
    <row r="44" spans="1:14">
      <c r="A44" t="s">
        <v>153</v>
      </c>
      <c r="B44" t="s">
        <v>154</v>
      </c>
      <c r="C44" t="s">
        <v>155</v>
      </c>
      <c r="D44" t="s">
        <v>17</v>
      </c>
      <c r="E44" t="s">
        <v>47</v>
      </c>
      <c r="F44" t="s">
        <v>90</v>
      </c>
      <c r="G44" t="s">
        <v>28</v>
      </c>
      <c r="H44" t="s">
        <v>49</v>
      </c>
      <c r="I44">
        <v>2</v>
      </c>
      <c r="J44">
        <v>14024</v>
      </c>
      <c r="K44">
        <v>0.05</v>
      </c>
      <c r="L44">
        <v>26645.599999999999</v>
      </c>
      <c r="M44">
        <v>6626.33</v>
      </c>
      <c r="N44" t="s">
        <v>50</v>
      </c>
    </row>
    <row r="45" spans="1:14">
      <c r="A45" t="s">
        <v>156</v>
      </c>
      <c r="B45" t="s">
        <v>157</v>
      </c>
      <c r="C45" t="s">
        <v>100</v>
      </c>
      <c r="D45" t="s">
        <v>34</v>
      </c>
      <c r="E45" t="s">
        <v>26</v>
      </c>
      <c r="F45" t="s">
        <v>101</v>
      </c>
      <c r="G45" t="s">
        <v>20</v>
      </c>
      <c r="H45" t="s">
        <v>21</v>
      </c>
      <c r="I45">
        <v>7</v>
      </c>
      <c r="J45">
        <v>692</v>
      </c>
      <c r="K45">
        <v>0.1</v>
      </c>
      <c r="L45">
        <v>4359.6000000000004</v>
      </c>
      <c r="M45">
        <v>921.42</v>
      </c>
      <c r="N45" t="s">
        <v>38</v>
      </c>
    </row>
    <row r="46" spans="1:14">
      <c r="A46" t="s">
        <v>158</v>
      </c>
      <c r="B46" t="s">
        <v>159</v>
      </c>
      <c r="C46" t="s">
        <v>160</v>
      </c>
      <c r="D46" t="s">
        <v>17</v>
      </c>
      <c r="E46" t="s">
        <v>18</v>
      </c>
      <c r="F46" t="s">
        <v>83</v>
      </c>
      <c r="G46" t="s">
        <v>20</v>
      </c>
      <c r="H46" t="s">
        <v>21</v>
      </c>
      <c r="I46">
        <v>8</v>
      </c>
      <c r="J46">
        <v>414</v>
      </c>
      <c r="K46">
        <v>0.05</v>
      </c>
      <c r="L46">
        <v>3146.4</v>
      </c>
      <c r="M46">
        <v>557.55999999999995</v>
      </c>
      <c r="N46" t="s">
        <v>38</v>
      </c>
    </row>
    <row r="47" spans="1:14">
      <c r="A47" t="s">
        <v>161</v>
      </c>
      <c r="B47" t="s">
        <v>162</v>
      </c>
      <c r="C47" t="s">
        <v>163</v>
      </c>
      <c r="D47" t="s">
        <v>17</v>
      </c>
      <c r="E47" t="s">
        <v>26</v>
      </c>
      <c r="F47" t="s">
        <v>78</v>
      </c>
      <c r="G47" t="s">
        <v>28</v>
      </c>
      <c r="H47" t="s">
        <v>102</v>
      </c>
      <c r="I47">
        <v>8</v>
      </c>
      <c r="J47">
        <v>8644</v>
      </c>
      <c r="K47">
        <v>0.05</v>
      </c>
      <c r="L47">
        <v>65694.399999999994</v>
      </c>
      <c r="M47">
        <v>9834.2099999999991</v>
      </c>
      <c r="N47" t="s">
        <v>30</v>
      </c>
    </row>
    <row r="48" spans="1:14">
      <c r="A48" t="s">
        <v>164</v>
      </c>
      <c r="B48" t="s">
        <v>165</v>
      </c>
      <c r="C48" t="s">
        <v>59</v>
      </c>
      <c r="D48" t="s">
        <v>34</v>
      </c>
      <c r="E48" t="s">
        <v>60</v>
      </c>
      <c r="F48" t="s">
        <v>135</v>
      </c>
      <c r="G48" t="s">
        <v>20</v>
      </c>
      <c r="H48" t="s">
        <v>65</v>
      </c>
      <c r="I48">
        <v>2</v>
      </c>
      <c r="J48">
        <v>135</v>
      </c>
      <c r="K48">
        <v>0.05</v>
      </c>
      <c r="L48">
        <v>256.5</v>
      </c>
      <c r="M48">
        <v>48.04</v>
      </c>
      <c r="N48" t="s">
        <v>56</v>
      </c>
    </row>
    <row r="49" spans="1:14">
      <c r="A49" t="s">
        <v>166</v>
      </c>
      <c r="B49" t="s">
        <v>167</v>
      </c>
      <c r="C49" t="s">
        <v>41</v>
      </c>
      <c r="D49" t="s">
        <v>34</v>
      </c>
      <c r="E49" t="s">
        <v>26</v>
      </c>
      <c r="F49" t="s">
        <v>69</v>
      </c>
      <c r="G49" t="s">
        <v>20</v>
      </c>
      <c r="H49" t="s">
        <v>55</v>
      </c>
      <c r="I49">
        <v>8</v>
      </c>
      <c r="J49">
        <v>155</v>
      </c>
      <c r="K49">
        <v>0.05</v>
      </c>
      <c r="L49">
        <v>1178</v>
      </c>
      <c r="M49">
        <v>143.13999999999999</v>
      </c>
      <c r="N49" t="s">
        <v>50</v>
      </c>
    </row>
    <row r="50" spans="1:14">
      <c r="A50" t="s">
        <v>168</v>
      </c>
      <c r="B50" t="s">
        <v>169</v>
      </c>
      <c r="C50" t="s">
        <v>16</v>
      </c>
      <c r="D50" t="s">
        <v>17</v>
      </c>
      <c r="E50" t="s">
        <v>47</v>
      </c>
      <c r="F50" t="s">
        <v>119</v>
      </c>
      <c r="G50" t="s">
        <v>36</v>
      </c>
      <c r="H50" t="s">
        <v>79</v>
      </c>
      <c r="I50">
        <v>4</v>
      </c>
      <c r="J50">
        <v>693</v>
      </c>
      <c r="K50">
        <v>0.15</v>
      </c>
      <c r="L50">
        <v>2356.1999999999998</v>
      </c>
      <c r="M50">
        <v>549.48</v>
      </c>
      <c r="N50" t="s">
        <v>56</v>
      </c>
    </row>
    <row r="51" spans="1:14">
      <c r="A51" t="s">
        <v>170</v>
      </c>
      <c r="B51" t="s">
        <v>147</v>
      </c>
      <c r="C51" t="s">
        <v>171</v>
      </c>
      <c r="D51" t="s">
        <v>17</v>
      </c>
      <c r="E51" t="s">
        <v>26</v>
      </c>
      <c r="F51" t="s">
        <v>101</v>
      </c>
      <c r="G51" t="s">
        <v>20</v>
      </c>
      <c r="H51" t="s">
        <v>21</v>
      </c>
      <c r="I51">
        <v>7</v>
      </c>
      <c r="J51">
        <v>445</v>
      </c>
      <c r="K51">
        <v>0.1</v>
      </c>
      <c r="L51">
        <v>2803.5</v>
      </c>
      <c r="M51">
        <v>498.23</v>
      </c>
      <c r="N51" t="s">
        <v>30</v>
      </c>
    </row>
    <row r="52" spans="1:14">
      <c r="A52" t="s">
        <v>172</v>
      </c>
      <c r="B52" t="s">
        <v>173</v>
      </c>
      <c r="C52" t="s">
        <v>46</v>
      </c>
      <c r="D52" t="s">
        <v>54</v>
      </c>
      <c r="E52" t="s">
        <v>60</v>
      </c>
      <c r="F52" t="s">
        <v>75</v>
      </c>
      <c r="G52" t="s">
        <v>20</v>
      </c>
      <c r="H52" t="s">
        <v>55</v>
      </c>
      <c r="I52">
        <v>8</v>
      </c>
      <c r="J52">
        <v>238</v>
      </c>
      <c r="K52">
        <v>0.05</v>
      </c>
      <c r="L52">
        <v>1808.8</v>
      </c>
      <c r="M52">
        <v>337.89</v>
      </c>
      <c r="N52" t="s">
        <v>30</v>
      </c>
    </row>
    <row r="53" spans="1:14">
      <c r="A53" t="s">
        <v>174</v>
      </c>
      <c r="B53" t="s">
        <v>175</v>
      </c>
      <c r="C53" t="s">
        <v>171</v>
      </c>
      <c r="D53" t="s">
        <v>34</v>
      </c>
      <c r="E53" t="s">
        <v>18</v>
      </c>
      <c r="F53" t="s">
        <v>83</v>
      </c>
      <c r="G53" t="s">
        <v>20</v>
      </c>
      <c r="H53" t="s">
        <v>43</v>
      </c>
      <c r="I53">
        <v>2</v>
      </c>
      <c r="J53">
        <v>77</v>
      </c>
      <c r="K53">
        <v>0.05</v>
      </c>
      <c r="L53">
        <v>146.30000000000001</v>
      </c>
      <c r="M53">
        <v>18.100000000000001</v>
      </c>
      <c r="N53" t="s">
        <v>38</v>
      </c>
    </row>
    <row r="54" spans="1:14">
      <c r="A54" t="s">
        <v>176</v>
      </c>
      <c r="B54" t="s">
        <v>177</v>
      </c>
      <c r="C54" t="s">
        <v>25</v>
      </c>
      <c r="D54" t="s">
        <v>34</v>
      </c>
      <c r="E54" t="s">
        <v>18</v>
      </c>
      <c r="F54" t="s">
        <v>35</v>
      </c>
      <c r="G54" t="s">
        <v>36</v>
      </c>
      <c r="H54" t="s">
        <v>70</v>
      </c>
      <c r="I54">
        <v>4</v>
      </c>
      <c r="J54">
        <v>24847</v>
      </c>
      <c r="K54">
        <v>0.15</v>
      </c>
      <c r="L54">
        <v>84479.8</v>
      </c>
      <c r="M54">
        <v>12051.85</v>
      </c>
      <c r="N54" t="s">
        <v>30</v>
      </c>
    </row>
    <row r="55" spans="1:14">
      <c r="A55" t="s">
        <v>178</v>
      </c>
      <c r="B55" t="s">
        <v>127</v>
      </c>
      <c r="C55" t="s">
        <v>97</v>
      </c>
      <c r="D55" t="s">
        <v>17</v>
      </c>
      <c r="E55" t="s">
        <v>60</v>
      </c>
      <c r="F55" t="s">
        <v>75</v>
      </c>
      <c r="G55" t="s">
        <v>20</v>
      </c>
      <c r="H55" t="s">
        <v>43</v>
      </c>
      <c r="I55">
        <v>8</v>
      </c>
      <c r="J55">
        <v>62</v>
      </c>
      <c r="K55">
        <v>0</v>
      </c>
      <c r="L55">
        <v>496</v>
      </c>
      <c r="M55">
        <v>119.47</v>
      </c>
      <c r="N55" t="s">
        <v>56</v>
      </c>
    </row>
    <row r="56" spans="1:14">
      <c r="A56" t="s">
        <v>179</v>
      </c>
      <c r="B56" t="s">
        <v>180</v>
      </c>
      <c r="C56" t="s">
        <v>59</v>
      </c>
      <c r="D56" t="s">
        <v>54</v>
      </c>
      <c r="E56" t="s">
        <v>47</v>
      </c>
      <c r="F56" t="s">
        <v>119</v>
      </c>
      <c r="G56" t="s">
        <v>28</v>
      </c>
      <c r="H56" t="s">
        <v>49</v>
      </c>
      <c r="I56">
        <v>6</v>
      </c>
      <c r="J56">
        <v>13017</v>
      </c>
      <c r="K56">
        <v>0.1</v>
      </c>
      <c r="L56">
        <v>70291.8</v>
      </c>
      <c r="M56">
        <v>8219.6299999999992</v>
      </c>
      <c r="N56" t="s">
        <v>56</v>
      </c>
    </row>
    <row r="57" spans="1:14">
      <c r="A57" t="s">
        <v>181</v>
      </c>
      <c r="B57" t="s">
        <v>182</v>
      </c>
      <c r="C57" t="s">
        <v>33</v>
      </c>
      <c r="D57" t="s">
        <v>17</v>
      </c>
      <c r="E57" t="s">
        <v>60</v>
      </c>
      <c r="F57" t="s">
        <v>135</v>
      </c>
      <c r="G57" t="s">
        <v>36</v>
      </c>
      <c r="H57" t="s">
        <v>79</v>
      </c>
      <c r="I57">
        <v>5</v>
      </c>
      <c r="J57">
        <v>1331</v>
      </c>
      <c r="K57">
        <v>0.05</v>
      </c>
      <c r="L57">
        <v>6322.25</v>
      </c>
      <c r="M57">
        <v>1568.55</v>
      </c>
      <c r="N57" t="s">
        <v>22</v>
      </c>
    </row>
    <row r="58" spans="1:14">
      <c r="A58" t="s">
        <v>183</v>
      </c>
      <c r="B58" t="s">
        <v>81</v>
      </c>
      <c r="C58" t="s">
        <v>41</v>
      </c>
      <c r="D58" t="s">
        <v>54</v>
      </c>
      <c r="E58" t="s">
        <v>47</v>
      </c>
      <c r="F58" t="s">
        <v>119</v>
      </c>
      <c r="G58" t="s">
        <v>36</v>
      </c>
      <c r="H58" t="s">
        <v>37</v>
      </c>
      <c r="I58">
        <v>3</v>
      </c>
      <c r="J58">
        <v>2458</v>
      </c>
      <c r="K58">
        <v>0.1</v>
      </c>
      <c r="L58">
        <v>6636.6</v>
      </c>
      <c r="M58">
        <v>1422.21</v>
      </c>
      <c r="N58" t="s">
        <v>56</v>
      </c>
    </row>
    <row r="59" spans="1:14">
      <c r="A59" t="s">
        <v>184</v>
      </c>
      <c r="B59" t="s">
        <v>139</v>
      </c>
      <c r="C59" t="s">
        <v>68</v>
      </c>
      <c r="D59" t="s">
        <v>54</v>
      </c>
      <c r="E59" t="s">
        <v>47</v>
      </c>
      <c r="F59" t="s">
        <v>90</v>
      </c>
      <c r="G59" t="s">
        <v>36</v>
      </c>
      <c r="H59" t="s">
        <v>70</v>
      </c>
      <c r="I59">
        <v>7</v>
      </c>
      <c r="J59">
        <v>10862</v>
      </c>
      <c r="K59">
        <v>0.05</v>
      </c>
      <c r="L59">
        <v>72232.3</v>
      </c>
      <c r="M59">
        <v>17387.810000000001</v>
      </c>
      <c r="N59" t="s">
        <v>30</v>
      </c>
    </row>
    <row r="60" spans="1:14">
      <c r="A60" t="s">
        <v>185</v>
      </c>
      <c r="B60" t="s">
        <v>186</v>
      </c>
      <c r="C60" t="s">
        <v>100</v>
      </c>
      <c r="D60" t="s">
        <v>54</v>
      </c>
      <c r="E60" t="s">
        <v>18</v>
      </c>
      <c r="F60" t="s">
        <v>19</v>
      </c>
      <c r="G60" t="s">
        <v>28</v>
      </c>
      <c r="H60" t="s">
        <v>49</v>
      </c>
      <c r="I60">
        <v>7</v>
      </c>
      <c r="J60">
        <v>14966</v>
      </c>
      <c r="K60">
        <v>0.2</v>
      </c>
      <c r="L60">
        <v>83809.600000000006</v>
      </c>
      <c r="M60">
        <v>15724.61</v>
      </c>
      <c r="N60" t="s">
        <v>22</v>
      </c>
    </row>
    <row r="61" spans="1:14">
      <c r="A61" t="s">
        <v>187</v>
      </c>
      <c r="B61" t="s">
        <v>188</v>
      </c>
      <c r="C61" t="s">
        <v>100</v>
      </c>
      <c r="D61" t="s">
        <v>54</v>
      </c>
      <c r="E61" t="s">
        <v>60</v>
      </c>
      <c r="F61" t="s">
        <v>110</v>
      </c>
      <c r="G61" t="s">
        <v>20</v>
      </c>
      <c r="H61" t="s">
        <v>65</v>
      </c>
      <c r="I61">
        <v>2</v>
      </c>
      <c r="J61">
        <v>332</v>
      </c>
      <c r="K61">
        <v>0.15</v>
      </c>
      <c r="L61">
        <v>564.4</v>
      </c>
      <c r="M61">
        <v>85.07</v>
      </c>
      <c r="N61" t="s">
        <v>38</v>
      </c>
    </row>
    <row r="62" spans="1:14">
      <c r="A62" t="s">
        <v>189</v>
      </c>
      <c r="B62" t="s">
        <v>190</v>
      </c>
      <c r="C62" t="s">
        <v>160</v>
      </c>
      <c r="D62" t="s">
        <v>54</v>
      </c>
      <c r="E62" t="s">
        <v>60</v>
      </c>
      <c r="F62" t="s">
        <v>135</v>
      </c>
      <c r="G62" t="s">
        <v>36</v>
      </c>
      <c r="H62" t="s">
        <v>79</v>
      </c>
      <c r="I62">
        <v>2</v>
      </c>
      <c r="J62">
        <v>590</v>
      </c>
      <c r="K62">
        <v>0.2</v>
      </c>
      <c r="L62">
        <v>944</v>
      </c>
      <c r="M62">
        <v>128.41999999999999</v>
      </c>
      <c r="N62" t="s">
        <v>30</v>
      </c>
    </row>
    <row r="63" spans="1:14">
      <c r="A63" t="s">
        <v>191</v>
      </c>
      <c r="B63" t="s">
        <v>192</v>
      </c>
      <c r="C63" t="s">
        <v>41</v>
      </c>
      <c r="D63" t="s">
        <v>17</v>
      </c>
      <c r="E63" t="s">
        <v>18</v>
      </c>
      <c r="F63" t="s">
        <v>83</v>
      </c>
      <c r="G63" t="s">
        <v>20</v>
      </c>
      <c r="H63" t="s">
        <v>21</v>
      </c>
      <c r="I63">
        <v>6</v>
      </c>
      <c r="J63">
        <v>682</v>
      </c>
      <c r="K63">
        <v>0.1</v>
      </c>
      <c r="L63">
        <v>3682.8</v>
      </c>
      <c r="M63">
        <v>366.55</v>
      </c>
      <c r="N63" t="s">
        <v>30</v>
      </c>
    </row>
    <row r="64" spans="1:14">
      <c r="A64" t="s">
        <v>193</v>
      </c>
      <c r="B64" t="s">
        <v>194</v>
      </c>
      <c r="C64" t="s">
        <v>33</v>
      </c>
      <c r="D64" t="s">
        <v>54</v>
      </c>
      <c r="E64" t="s">
        <v>18</v>
      </c>
      <c r="F64" t="s">
        <v>83</v>
      </c>
      <c r="G64" t="s">
        <v>36</v>
      </c>
      <c r="H64" t="s">
        <v>70</v>
      </c>
      <c r="I64">
        <v>5</v>
      </c>
      <c r="J64">
        <v>24098</v>
      </c>
      <c r="K64">
        <v>0</v>
      </c>
      <c r="L64">
        <v>120490</v>
      </c>
      <c r="M64">
        <v>11518.7</v>
      </c>
      <c r="N64" t="s">
        <v>30</v>
      </c>
    </row>
    <row r="65" spans="1:14">
      <c r="A65" t="s">
        <v>195</v>
      </c>
      <c r="B65" t="s">
        <v>196</v>
      </c>
      <c r="C65" t="s">
        <v>97</v>
      </c>
      <c r="D65" t="s">
        <v>34</v>
      </c>
      <c r="E65" t="s">
        <v>26</v>
      </c>
      <c r="F65" t="s">
        <v>101</v>
      </c>
      <c r="G65" t="s">
        <v>36</v>
      </c>
      <c r="H65" t="s">
        <v>37</v>
      </c>
      <c r="I65">
        <v>5</v>
      </c>
      <c r="J65">
        <v>1862</v>
      </c>
      <c r="K65">
        <v>0.1</v>
      </c>
      <c r="L65">
        <v>8379</v>
      </c>
      <c r="M65">
        <v>1301.5</v>
      </c>
      <c r="N65" t="s">
        <v>30</v>
      </c>
    </row>
    <row r="66" spans="1:14">
      <c r="A66" t="s">
        <v>197</v>
      </c>
      <c r="B66" t="s">
        <v>127</v>
      </c>
      <c r="C66" t="s">
        <v>33</v>
      </c>
      <c r="D66" t="s">
        <v>17</v>
      </c>
      <c r="E66" t="s">
        <v>26</v>
      </c>
      <c r="F66" t="s">
        <v>101</v>
      </c>
      <c r="G66" t="s">
        <v>36</v>
      </c>
      <c r="H66" t="s">
        <v>84</v>
      </c>
      <c r="I66">
        <v>6</v>
      </c>
      <c r="J66">
        <v>73174</v>
      </c>
      <c r="K66">
        <v>0</v>
      </c>
      <c r="L66">
        <v>439044</v>
      </c>
      <c r="M66">
        <v>35697.26</v>
      </c>
      <c r="N66" t="s">
        <v>38</v>
      </c>
    </row>
    <row r="67" spans="1:14">
      <c r="A67" t="s">
        <v>198</v>
      </c>
      <c r="B67" t="s">
        <v>199</v>
      </c>
      <c r="C67" t="s">
        <v>134</v>
      </c>
      <c r="D67" t="s">
        <v>54</v>
      </c>
      <c r="E67" t="s">
        <v>60</v>
      </c>
      <c r="F67" t="s">
        <v>135</v>
      </c>
      <c r="G67" t="s">
        <v>36</v>
      </c>
      <c r="H67" t="s">
        <v>84</v>
      </c>
      <c r="I67">
        <v>8</v>
      </c>
      <c r="J67">
        <v>73223</v>
      </c>
      <c r="K67">
        <v>0</v>
      </c>
      <c r="L67">
        <v>585784</v>
      </c>
      <c r="M67">
        <v>90302.9</v>
      </c>
      <c r="N67" t="s">
        <v>22</v>
      </c>
    </row>
    <row r="68" spans="1:14">
      <c r="A68" t="s">
        <v>200</v>
      </c>
      <c r="B68" t="s">
        <v>63</v>
      </c>
      <c r="C68" t="s">
        <v>68</v>
      </c>
      <c r="D68" t="s">
        <v>17</v>
      </c>
      <c r="E68" t="s">
        <v>26</v>
      </c>
      <c r="F68" t="s">
        <v>78</v>
      </c>
      <c r="G68" t="s">
        <v>20</v>
      </c>
      <c r="H68" t="s">
        <v>65</v>
      </c>
      <c r="I68">
        <v>5</v>
      </c>
      <c r="J68">
        <v>154</v>
      </c>
      <c r="K68">
        <v>0.05</v>
      </c>
      <c r="L68">
        <v>731.5</v>
      </c>
      <c r="M68">
        <v>112.7</v>
      </c>
      <c r="N68" t="s">
        <v>30</v>
      </c>
    </row>
    <row r="69" spans="1:14">
      <c r="A69" t="s">
        <v>201</v>
      </c>
      <c r="B69" t="s">
        <v>149</v>
      </c>
      <c r="C69" t="s">
        <v>128</v>
      </c>
      <c r="D69" t="s">
        <v>17</v>
      </c>
      <c r="E69" t="s">
        <v>60</v>
      </c>
      <c r="F69" t="s">
        <v>135</v>
      </c>
      <c r="G69" t="s">
        <v>36</v>
      </c>
      <c r="H69" t="s">
        <v>37</v>
      </c>
      <c r="I69">
        <v>3</v>
      </c>
      <c r="J69">
        <v>1996</v>
      </c>
      <c r="K69">
        <v>0.05</v>
      </c>
      <c r="L69">
        <v>5688.6</v>
      </c>
      <c r="M69">
        <v>702.63</v>
      </c>
      <c r="N69" t="s">
        <v>56</v>
      </c>
    </row>
    <row r="70" spans="1:14">
      <c r="A70" t="s">
        <v>202</v>
      </c>
      <c r="B70" t="s">
        <v>203</v>
      </c>
      <c r="C70" t="s">
        <v>46</v>
      </c>
      <c r="D70" t="s">
        <v>17</v>
      </c>
      <c r="E70" t="s">
        <v>47</v>
      </c>
      <c r="F70" t="s">
        <v>48</v>
      </c>
      <c r="G70" t="s">
        <v>28</v>
      </c>
      <c r="H70" t="s">
        <v>49</v>
      </c>
      <c r="I70">
        <v>6</v>
      </c>
      <c r="J70">
        <v>9961</v>
      </c>
      <c r="K70">
        <v>0</v>
      </c>
      <c r="L70">
        <v>59766</v>
      </c>
      <c r="M70">
        <v>7935.09</v>
      </c>
      <c r="N70" t="s">
        <v>38</v>
      </c>
    </row>
    <row r="71" spans="1:14">
      <c r="A71" t="s">
        <v>204</v>
      </c>
      <c r="B71" t="s">
        <v>205</v>
      </c>
      <c r="C71" t="s">
        <v>134</v>
      </c>
      <c r="D71" t="s">
        <v>34</v>
      </c>
      <c r="E71" t="s">
        <v>60</v>
      </c>
      <c r="F71" t="s">
        <v>75</v>
      </c>
      <c r="G71" t="s">
        <v>20</v>
      </c>
      <c r="H71" t="s">
        <v>55</v>
      </c>
      <c r="I71">
        <v>7</v>
      </c>
      <c r="J71">
        <v>162</v>
      </c>
      <c r="K71">
        <v>0</v>
      </c>
      <c r="L71">
        <v>1134</v>
      </c>
      <c r="M71">
        <v>177.57</v>
      </c>
      <c r="N71" t="s">
        <v>50</v>
      </c>
    </row>
    <row r="72" spans="1:14">
      <c r="A72" t="s">
        <v>206</v>
      </c>
      <c r="B72" t="s">
        <v>207</v>
      </c>
      <c r="C72" t="s">
        <v>100</v>
      </c>
      <c r="D72" t="s">
        <v>17</v>
      </c>
      <c r="E72" t="s">
        <v>18</v>
      </c>
      <c r="F72" t="s">
        <v>42</v>
      </c>
      <c r="G72" t="s">
        <v>20</v>
      </c>
      <c r="H72" t="s">
        <v>65</v>
      </c>
      <c r="I72">
        <v>8</v>
      </c>
      <c r="J72">
        <v>273</v>
      </c>
      <c r="K72">
        <v>0.2</v>
      </c>
      <c r="L72">
        <v>1747.2</v>
      </c>
      <c r="M72">
        <v>155.33000000000001</v>
      </c>
      <c r="N72" t="s">
        <v>38</v>
      </c>
    </row>
    <row r="73" spans="1:14">
      <c r="A73" t="s">
        <v>208</v>
      </c>
      <c r="B73" t="s">
        <v>209</v>
      </c>
      <c r="C73" t="s">
        <v>163</v>
      </c>
      <c r="D73" t="s">
        <v>34</v>
      </c>
      <c r="E73" t="s">
        <v>18</v>
      </c>
      <c r="F73" t="s">
        <v>35</v>
      </c>
      <c r="G73" t="s">
        <v>28</v>
      </c>
      <c r="H73" t="s">
        <v>29</v>
      </c>
      <c r="I73">
        <v>3</v>
      </c>
      <c r="J73">
        <v>6541</v>
      </c>
      <c r="K73">
        <v>0.15</v>
      </c>
      <c r="L73">
        <v>16679.55</v>
      </c>
      <c r="M73">
        <v>3159</v>
      </c>
      <c r="N73" t="s">
        <v>22</v>
      </c>
    </row>
    <row r="74" spans="1:14">
      <c r="A74" t="s">
        <v>210</v>
      </c>
      <c r="B74" t="s">
        <v>211</v>
      </c>
      <c r="C74" t="s">
        <v>68</v>
      </c>
      <c r="D74" t="s">
        <v>17</v>
      </c>
      <c r="E74" t="s">
        <v>18</v>
      </c>
      <c r="F74" t="s">
        <v>35</v>
      </c>
      <c r="G74" t="s">
        <v>20</v>
      </c>
      <c r="H74" t="s">
        <v>21</v>
      </c>
      <c r="I74">
        <v>1</v>
      </c>
      <c r="J74">
        <v>289</v>
      </c>
      <c r="K74">
        <v>0</v>
      </c>
      <c r="L74">
        <v>289</v>
      </c>
      <c r="M74">
        <v>48.06</v>
      </c>
      <c r="N74" t="s">
        <v>38</v>
      </c>
    </row>
    <row r="75" spans="1:14">
      <c r="A75" t="s">
        <v>212</v>
      </c>
      <c r="B75" t="s">
        <v>213</v>
      </c>
      <c r="C75" t="s">
        <v>171</v>
      </c>
      <c r="D75" t="s">
        <v>54</v>
      </c>
      <c r="E75" t="s">
        <v>47</v>
      </c>
      <c r="F75" t="s">
        <v>48</v>
      </c>
      <c r="G75" t="s">
        <v>36</v>
      </c>
      <c r="H75" t="s">
        <v>70</v>
      </c>
      <c r="I75">
        <v>3</v>
      </c>
      <c r="J75">
        <v>20815</v>
      </c>
      <c r="K75">
        <v>0.15</v>
      </c>
      <c r="L75">
        <v>53078.25</v>
      </c>
      <c r="M75">
        <v>6357.74</v>
      </c>
      <c r="N75" t="s">
        <v>50</v>
      </c>
    </row>
    <row r="76" spans="1:14">
      <c r="A76" t="s">
        <v>214</v>
      </c>
      <c r="B76" t="s">
        <v>215</v>
      </c>
      <c r="C76" t="s">
        <v>73</v>
      </c>
      <c r="D76" t="s">
        <v>54</v>
      </c>
      <c r="E76" t="s">
        <v>60</v>
      </c>
      <c r="F76" t="s">
        <v>110</v>
      </c>
      <c r="G76" t="s">
        <v>28</v>
      </c>
      <c r="H76" t="s">
        <v>29</v>
      </c>
      <c r="I76">
        <v>7</v>
      </c>
      <c r="J76">
        <v>5133</v>
      </c>
      <c r="K76">
        <v>0.2</v>
      </c>
      <c r="L76">
        <v>28744.799999999999</v>
      </c>
      <c r="M76">
        <v>6865.12</v>
      </c>
      <c r="N76" t="s">
        <v>56</v>
      </c>
    </row>
    <row r="77" spans="1:14">
      <c r="A77" t="s">
        <v>216</v>
      </c>
      <c r="B77" t="s">
        <v>217</v>
      </c>
      <c r="C77" t="s">
        <v>59</v>
      </c>
      <c r="D77" t="s">
        <v>17</v>
      </c>
      <c r="E77" t="s">
        <v>47</v>
      </c>
      <c r="F77" t="s">
        <v>90</v>
      </c>
      <c r="G77" t="s">
        <v>28</v>
      </c>
      <c r="H77" t="s">
        <v>102</v>
      </c>
      <c r="I77">
        <v>7</v>
      </c>
      <c r="J77">
        <v>7436</v>
      </c>
      <c r="K77">
        <v>0.15</v>
      </c>
      <c r="L77">
        <v>44244.2</v>
      </c>
      <c r="M77">
        <v>11019.87</v>
      </c>
      <c r="N77" t="s">
        <v>38</v>
      </c>
    </row>
    <row r="78" spans="1:14">
      <c r="A78" t="s">
        <v>218</v>
      </c>
      <c r="B78" t="s">
        <v>219</v>
      </c>
      <c r="C78" t="s">
        <v>68</v>
      </c>
      <c r="D78" t="s">
        <v>54</v>
      </c>
      <c r="E78" t="s">
        <v>18</v>
      </c>
      <c r="F78" t="s">
        <v>83</v>
      </c>
      <c r="G78" t="s">
        <v>36</v>
      </c>
      <c r="H78" t="s">
        <v>70</v>
      </c>
      <c r="I78">
        <v>1</v>
      </c>
      <c r="J78">
        <v>24030</v>
      </c>
      <c r="K78">
        <v>0.05</v>
      </c>
      <c r="L78">
        <v>22828.5</v>
      </c>
      <c r="M78">
        <v>3956.1</v>
      </c>
      <c r="N78" t="s">
        <v>56</v>
      </c>
    </row>
    <row r="79" spans="1:14">
      <c r="A79" t="s">
        <v>220</v>
      </c>
      <c r="B79" t="s">
        <v>221</v>
      </c>
      <c r="C79" t="s">
        <v>171</v>
      </c>
      <c r="D79" t="s">
        <v>54</v>
      </c>
      <c r="E79" t="s">
        <v>60</v>
      </c>
      <c r="F79" t="s">
        <v>61</v>
      </c>
      <c r="G79" t="s">
        <v>28</v>
      </c>
      <c r="H79" t="s">
        <v>107</v>
      </c>
      <c r="I79">
        <v>1</v>
      </c>
      <c r="J79">
        <v>12489</v>
      </c>
      <c r="K79">
        <v>0.2</v>
      </c>
      <c r="L79">
        <v>9991.2000000000007</v>
      </c>
      <c r="M79">
        <v>1776.02</v>
      </c>
      <c r="N79" t="s">
        <v>56</v>
      </c>
    </row>
    <row r="80" spans="1:14">
      <c r="A80" t="s">
        <v>222</v>
      </c>
      <c r="B80" t="s">
        <v>217</v>
      </c>
      <c r="C80" t="s">
        <v>25</v>
      </c>
      <c r="D80" t="s">
        <v>34</v>
      </c>
      <c r="E80" t="s">
        <v>60</v>
      </c>
      <c r="F80" t="s">
        <v>61</v>
      </c>
      <c r="G80" t="s">
        <v>20</v>
      </c>
      <c r="H80" t="s">
        <v>65</v>
      </c>
      <c r="I80">
        <v>3</v>
      </c>
      <c r="J80">
        <v>340</v>
      </c>
      <c r="K80">
        <v>0</v>
      </c>
      <c r="L80">
        <v>1020</v>
      </c>
      <c r="M80">
        <v>191.83</v>
      </c>
      <c r="N80" t="s">
        <v>56</v>
      </c>
    </row>
    <row r="81" spans="1:14">
      <c r="A81" t="s">
        <v>223</v>
      </c>
      <c r="B81" t="s">
        <v>199</v>
      </c>
      <c r="C81" t="s">
        <v>46</v>
      </c>
      <c r="D81" t="s">
        <v>54</v>
      </c>
      <c r="E81" t="s">
        <v>60</v>
      </c>
      <c r="F81" t="s">
        <v>75</v>
      </c>
      <c r="G81" t="s">
        <v>28</v>
      </c>
      <c r="H81" t="s">
        <v>102</v>
      </c>
      <c r="I81">
        <v>2</v>
      </c>
      <c r="J81">
        <v>12546</v>
      </c>
      <c r="K81">
        <v>0.05</v>
      </c>
      <c r="L81">
        <v>23837.4</v>
      </c>
      <c r="M81">
        <v>2162.6999999999998</v>
      </c>
      <c r="N81" t="s">
        <v>50</v>
      </c>
    </row>
    <row r="82" spans="1:14">
      <c r="A82" t="s">
        <v>224</v>
      </c>
      <c r="B82" t="s">
        <v>209</v>
      </c>
      <c r="C82" t="s">
        <v>25</v>
      </c>
      <c r="D82" t="s">
        <v>17</v>
      </c>
      <c r="E82" t="s">
        <v>18</v>
      </c>
      <c r="F82" t="s">
        <v>42</v>
      </c>
      <c r="G82" t="s">
        <v>36</v>
      </c>
      <c r="H82" t="s">
        <v>37</v>
      </c>
      <c r="I82">
        <v>5</v>
      </c>
      <c r="J82">
        <v>2369</v>
      </c>
      <c r="K82">
        <v>0</v>
      </c>
      <c r="L82">
        <v>11845</v>
      </c>
      <c r="M82">
        <v>2691.01</v>
      </c>
      <c r="N82" t="s">
        <v>38</v>
      </c>
    </row>
    <row r="83" spans="1:14">
      <c r="A83" t="s">
        <v>225</v>
      </c>
      <c r="B83" t="s">
        <v>131</v>
      </c>
      <c r="C83" t="s">
        <v>16</v>
      </c>
      <c r="D83" t="s">
        <v>54</v>
      </c>
      <c r="E83" t="s">
        <v>26</v>
      </c>
      <c r="F83" t="s">
        <v>78</v>
      </c>
      <c r="G83" t="s">
        <v>20</v>
      </c>
      <c r="H83" t="s">
        <v>65</v>
      </c>
      <c r="I83">
        <v>7</v>
      </c>
      <c r="J83">
        <v>317</v>
      </c>
      <c r="K83">
        <v>0</v>
      </c>
      <c r="L83">
        <v>2219</v>
      </c>
      <c r="M83">
        <v>339.96</v>
      </c>
      <c r="N83" t="s">
        <v>38</v>
      </c>
    </row>
    <row r="84" spans="1:14">
      <c r="A84" t="s">
        <v>226</v>
      </c>
      <c r="B84" t="s">
        <v>77</v>
      </c>
      <c r="C84" t="s">
        <v>134</v>
      </c>
      <c r="D84" t="s">
        <v>34</v>
      </c>
      <c r="E84" t="s">
        <v>18</v>
      </c>
      <c r="F84" t="s">
        <v>19</v>
      </c>
      <c r="G84" t="s">
        <v>28</v>
      </c>
      <c r="H84" t="s">
        <v>29</v>
      </c>
      <c r="I84">
        <v>5</v>
      </c>
      <c r="J84">
        <v>6879</v>
      </c>
      <c r="K84">
        <v>0.1</v>
      </c>
      <c r="L84">
        <v>30955.5</v>
      </c>
      <c r="M84">
        <v>5841.61</v>
      </c>
      <c r="N84" t="s">
        <v>30</v>
      </c>
    </row>
    <row r="85" spans="1:14">
      <c r="A85" t="s">
        <v>227</v>
      </c>
      <c r="B85" t="s">
        <v>228</v>
      </c>
      <c r="C85" t="s">
        <v>41</v>
      </c>
      <c r="D85" t="s">
        <v>17</v>
      </c>
      <c r="E85" t="s">
        <v>60</v>
      </c>
      <c r="F85" t="s">
        <v>61</v>
      </c>
      <c r="G85" t="s">
        <v>36</v>
      </c>
      <c r="H85" t="s">
        <v>70</v>
      </c>
      <c r="I85">
        <v>8</v>
      </c>
      <c r="J85">
        <v>11068</v>
      </c>
      <c r="K85">
        <v>0.1</v>
      </c>
      <c r="L85">
        <v>79689.600000000006</v>
      </c>
      <c r="M85">
        <v>11414.92</v>
      </c>
      <c r="N85" t="s">
        <v>22</v>
      </c>
    </row>
    <row r="86" spans="1:14">
      <c r="A86" t="s">
        <v>229</v>
      </c>
      <c r="B86" t="s">
        <v>230</v>
      </c>
      <c r="C86" t="s">
        <v>171</v>
      </c>
      <c r="D86" t="s">
        <v>34</v>
      </c>
      <c r="E86" t="s">
        <v>60</v>
      </c>
      <c r="F86" t="s">
        <v>110</v>
      </c>
      <c r="G86" t="s">
        <v>28</v>
      </c>
      <c r="H86" t="s">
        <v>29</v>
      </c>
      <c r="I86">
        <v>4</v>
      </c>
      <c r="J86">
        <v>7170</v>
      </c>
      <c r="K86">
        <v>0.15</v>
      </c>
      <c r="L86">
        <v>24378</v>
      </c>
      <c r="M86">
        <v>2839.48</v>
      </c>
      <c r="N86" t="s">
        <v>30</v>
      </c>
    </row>
    <row r="87" spans="1:14">
      <c r="A87" t="s">
        <v>231</v>
      </c>
      <c r="B87" t="s">
        <v>232</v>
      </c>
      <c r="C87" t="s">
        <v>53</v>
      </c>
      <c r="D87" t="s">
        <v>54</v>
      </c>
      <c r="E87" t="s">
        <v>47</v>
      </c>
      <c r="F87" t="s">
        <v>87</v>
      </c>
      <c r="G87" t="s">
        <v>36</v>
      </c>
      <c r="H87" t="s">
        <v>84</v>
      </c>
      <c r="I87">
        <v>8</v>
      </c>
      <c r="J87">
        <v>56315</v>
      </c>
      <c r="K87">
        <v>0.1</v>
      </c>
      <c r="L87">
        <v>405468</v>
      </c>
      <c r="M87">
        <v>91121.45</v>
      </c>
      <c r="N87" t="s">
        <v>22</v>
      </c>
    </row>
    <row r="88" spans="1:14">
      <c r="A88" t="s">
        <v>233</v>
      </c>
      <c r="B88" t="s">
        <v>234</v>
      </c>
      <c r="C88" t="s">
        <v>68</v>
      </c>
      <c r="D88" t="s">
        <v>54</v>
      </c>
      <c r="E88" t="s">
        <v>47</v>
      </c>
      <c r="F88" t="s">
        <v>87</v>
      </c>
      <c r="G88" t="s">
        <v>36</v>
      </c>
      <c r="H88" t="s">
        <v>70</v>
      </c>
      <c r="I88">
        <v>4</v>
      </c>
      <c r="J88">
        <v>9430</v>
      </c>
      <c r="K88">
        <v>0.15</v>
      </c>
      <c r="L88">
        <v>32062</v>
      </c>
      <c r="M88">
        <v>8013.29</v>
      </c>
      <c r="N88" t="s">
        <v>30</v>
      </c>
    </row>
    <row r="89" spans="1:14">
      <c r="A89" t="s">
        <v>235</v>
      </c>
      <c r="B89" t="s">
        <v>215</v>
      </c>
      <c r="C89" t="s">
        <v>163</v>
      </c>
      <c r="D89" t="s">
        <v>54</v>
      </c>
      <c r="E89" t="s">
        <v>18</v>
      </c>
      <c r="F89" t="s">
        <v>42</v>
      </c>
      <c r="G89" t="s">
        <v>28</v>
      </c>
      <c r="H89" t="s">
        <v>107</v>
      </c>
      <c r="I89">
        <v>8</v>
      </c>
      <c r="J89">
        <v>7102</v>
      </c>
      <c r="K89">
        <v>0</v>
      </c>
      <c r="L89">
        <v>56816</v>
      </c>
      <c r="M89">
        <v>12575.45</v>
      </c>
      <c r="N89" t="s">
        <v>50</v>
      </c>
    </row>
    <row r="90" spans="1:14">
      <c r="A90" t="s">
        <v>236</v>
      </c>
      <c r="B90" t="s">
        <v>237</v>
      </c>
      <c r="C90" t="s">
        <v>53</v>
      </c>
      <c r="D90" t="s">
        <v>34</v>
      </c>
      <c r="E90" t="s">
        <v>47</v>
      </c>
      <c r="F90" t="s">
        <v>90</v>
      </c>
      <c r="G90" t="s">
        <v>20</v>
      </c>
      <c r="H90" t="s">
        <v>43</v>
      </c>
      <c r="I90">
        <v>6</v>
      </c>
      <c r="J90">
        <v>26</v>
      </c>
      <c r="K90">
        <v>0.2</v>
      </c>
      <c r="L90">
        <v>124.8</v>
      </c>
      <c r="M90">
        <v>21.3</v>
      </c>
      <c r="N90" t="s">
        <v>22</v>
      </c>
    </row>
    <row r="91" spans="1:14">
      <c r="A91" t="s">
        <v>238</v>
      </c>
      <c r="B91" t="s">
        <v>127</v>
      </c>
      <c r="C91" t="s">
        <v>97</v>
      </c>
      <c r="D91" t="s">
        <v>17</v>
      </c>
      <c r="E91" t="s">
        <v>47</v>
      </c>
      <c r="F91" t="s">
        <v>119</v>
      </c>
      <c r="G91" t="s">
        <v>20</v>
      </c>
      <c r="H91" t="s">
        <v>21</v>
      </c>
      <c r="I91">
        <v>1</v>
      </c>
      <c r="J91">
        <v>504</v>
      </c>
      <c r="K91">
        <v>0.2</v>
      </c>
      <c r="L91">
        <v>403.2</v>
      </c>
      <c r="M91">
        <v>52.11</v>
      </c>
      <c r="N91" t="s">
        <v>30</v>
      </c>
    </row>
    <row r="92" spans="1:14">
      <c r="A92" t="s">
        <v>239</v>
      </c>
      <c r="B92" t="s">
        <v>240</v>
      </c>
      <c r="C92" t="s">
        <v>68</v>
      </c>
      <c r="D92" t="s">
        <v>34</v>
      </c>
      <c r="E92" t="s">
        <v>60</v>
      </c>
      <c r="F92" t="s">
        <v>110</v>
      </c>
      <c r="G92" t="s">
        <v>36</v>
      </c>
      <c r="H92" t="s">
        <v>84</v>
      </c>
      <c r="I92">
        <v>3</v>
      </c>
      <c r="J92">
        <v>73809</v>
      </c>
      <c r="K92">
        <v>0.15</v>
      </c>
      <c r="L92">
        <v>188212.95</v>
      </c>
      <c r="M92">
        <v>19241.060000000001</v>
      </c>
      <c r="N92" t="s">
        <v>56</v>
      </c>
    </row>
    <row r="93" spans="1:14">
      <c r="A93" t="s">
        <v>241</v>
      </c>
      <c r="B93" t="s">
        <v>137</v>
      </c>
      <c r="C93" t="s">
        <v>33</v>
      </c>
      <c r="D93" t="s">
        <v>17</v>
      </c>
      <c r="E93" t="s">
        <v>60</v>
      </c>
      <c r="F93" t="s">
        <v>61</v>
      </c>
      <c r="G93" t="s">
        <v>28</v>
      </c>
      <c r="H93" t="s">
        <v>107</v>
      </c>
      <c r="I93">
        <v>5</v>
      </c>
      <c r="J93">
        <v>5829</v>
      </c>
      <c r="K93">
        <v>0.1</v>
      </c>
      <c r="L93">
        <v>26230.5</v>
      </c>
      <c r="M93">
        <v>6262.21</v>
      </c>
      <c r="N93" t="s">
        <v>30</v>
      </c>
    </row>
    <row r="94" spans="1:14">
      <c r="A94" t="s">
        <v>242</v>
      </c>
      <c r="B94" t="s">
        <v>162</v>
      </c>
      <c r="C94" t="s">
        <v>97</v>
      </c>
      <c r="D94" t="s">
        <v>54</v>
      </c>
      <c r="E94" t="s">
        <v>26</v>
      </c>
      <c r="F94" t="s">
        <v>78</v>
      </c>
      <c r="G94" t="s">
        <v>28</v>
      </c>
      <c r="H94" t="s">
        <v>49</v>
      </c>
      <c r="I94">
        <v>1</v>
      </c>
      <c r="J94">
        <v>14557</v>
      </c>
      <c r="K94">
        <v>0.15</v>
      </c>
      <c r="L94">
        <v>12373.45</v>
      </c>
      <c r="M94">
        <v>2246.75</v>
      </c>
      <c r="N94" t="s">
        <v>22</v>
      </c>
    </row>
    <row r="95" spans="1:14">
      <c r="A95" t="s">
        <v>243</v>
      </c>
      <c r="B95" t="s">
        <v>244</v>
      </c>
      <c r="C95" t="s">
        <v>155</v>
      </c>
      <c r="D95" t="s">
        <v>34</v>
      </c>
      <c r="E95" t="s">
        <v>18</v>
      </c>
      <c r="F95" t="s">
        <v>19</v>
      </c>
      <c r="G95" t="s">
        <v>28</v>
      </c>
      <c r="H95" t="s">
        <v>102</v>
      </c>
      <c r="I95">
        <v>5</v>
      </c>
      <c r="J95">
        <v>13563</v>
      </c>
      <c r="K95">
        <v>0.1</v>
      </c>
      <c r="L95">
        <v>61033.5</v>
      </c>
      <c r="M95">
        <v>5645.62</v>
      </c>
      <c r="N95" t="s">
        <v>38</v>
      </c>
    </row>
    <row r="96" spans="1:14">
      <c r="A96" t="s">
        <v>245</v>
      </c>
      <c r="B96" t="s">
        <v>246</v>
      </c>
      <c r="C96" t="s">
        <v>68</v>
      </c>
      <c r="D96" t="s">
        <v>54</v>
      </c>
      <c r="E96" t="s">
        <v>18</v>
      </c>
      <c r="F96" t="s">
        <v>42</v>
      </c>
      <c r="G96" t="s">
        <v>36</v>
      </c>
      <c r="H96" t="s">
        <v>79</v>
      </c>
      <c r="I96">
        <v>6</v>
      </c>
      <c r="J96">
        <v>695</v>
      </c>
      <c r="K96">
        <v>0.05</v>
      </c>
      <c r="L96">
        <v>3961.5</v>
      </c>
      <c r="M96">
        <v>797.49</v>
      </c>
      <c r="N96" t="s">
        <v>50</v>
      </c>
    </row>
    <row r="97" spans="1:14">
      <c r="A97" t="s">
        <v>247</v>
      </c>
      <c r="B97" t="s">
        <v>133</v>
      </c>
      <c r="C97" t="s">
        <v>64</v>
      </c>
      <c r="D97" t="s">
        <v>54</v>
      </c>
      <c r="E97" t="s">
        <v>47</v>
      </c>
      <c r="F97" t="s">
        <v>90</v>
      </c>
      <c r="G97" t="s">
        <v>20</v>
      </c>
      <c r="H97" t="s">
        <v>21</v>
      </c>
      <c r="I97">
        <v>3</v>
      </c>
      <c r="J97">
        <v>612</v>
      </c>
      <c r="K97">
        <v>0.1</v>
      </c>
      <c r="L97">
        <v>1652.4</v>
      </c>
      <c r="M97">
        <v>265.58999999999997</v>
      </c>
      <c r="N97" t="s">
        <v>56</v>
      </c>
    </row>
    <row r="98" spans="1:14">
      <c r="A98" t="s">
        <v>248</v>
      </c>
      <c r="B98" t="s">
        <v>123</v>
      </c>
      <c r="C98" t="s">
        <v>163</v>
      </c>
      <c r="D98" t="s">
        <v>34</v>
      </c>
      <c r="E98" t="s">
        <v>26</v>
      </c>
      <c r="F98" t="s">
        <v>101</v>
      </c>
      <c r="G98" t="s">
        <v>20</v>
      </c>
      <c r="H98" t="s">
        <v>55</v>
      </c>
      <c r="I98">
        <v>8</v>
      </c>
      <c r="J98">
        <v>123</v>
      </c>
      <c r="K98">
        <v>0.2</v>
      </c>
      <c r="L98">
        <v>787.2</v>
      </c>
      <c r="M98">
        <v>166.64</v>
      </c>
      <c r="N98" t="s">
        <v>50</v>
      </c>
    </row>
    <row r="99" spans="1:14">
      <c r="A99" t="s">
        <v>249</v>
      </c>
      <c r="B99" t="s">
        <v>89</v>
      </c>
      <c r="C99" t="s">
        <v>97</v>
      </c>
      <c r="D99" t="s">
        <v>34</v>
      </c>
      <c r="E99" t="s">
        <v>18</v>
      </c>
      <c r="F99" t="s">
        <v>19</v>
      </c>
      <c r="G99" t="s">
        <v>36</v>
      </c>
      <c r="H99" t="s">
        <v>84</v>
      </c>
      <c r="I99">
        <v>8</v>
      </c>
      <c r="J99">
        <v>65558</v>
      </c>
      <c r="K99">
        <v>0.2</v>
      </c>
      <c r="L99">
        <v>419571.20000000001</v>
      </c>
      <c r="M99">
        <v>56750.54</v>
      </c>
      <c r="N99" t="s">
        <v>30</v>
      </c>
    </row>
    <row r="100" spans="1:14">
      <c r="A100" t="s">
        <v>250</v>
      </c>
      <c r="B100" t="s">
        <v>251</v>
      </c>
      <c r="C100" t="s">
        <v>100</v>
      </c>
      <c r="D100" t="s">
        <v>54</v>
      </c>
      <c r="E100" t="s">
        <v>60</v>
      </c>
      <c r="F100" t="s">
        <v>61</v>
      </c>
      <c r="G100" t="s">
        <v>28</v>
      </c>
      <c r="H100" t="s">
        <v>29</v>
      </c>
      <c r="I100">
        <v>6</v>
      </c>
      <c r="J100">
        <v>8571</v>
      </c>
      <c r="K100">
        <v>0.05</v>
      </c>
      <c r="L100">
        <v>48854.7</v>
      </c>
      <c r="M100">
        <v>9641.02</v>
      </c>
      <c r="N100" t="s">
        <v>38</v>
      </c>
    </row>
    <row r="101" spans="1:14">
      <c r="A101" t="s">
        <v>252</v>
      </c>
      <c r="B101" t="s">
        <v>99</v>
      </c>
      <c r="C101" t="s">
        <v>25</v>
      </c>
      <c r="D101" t="s">
        <v>34</v>
      </c>
      <c r="E101" t="s">
        <v>60</v>
      </c>
      <c r="F101" t="s">
        <v>135</v>
      </c>
      <c r="G101" t="s">
        <v>36</v>
      </c>
      <c r="H101" t="s">
        <v>79</v>
      </c>
      <c r="I101">
        <v>7</v>
      </c>
      <c r="J101">
        <v>699</v>
      </c>
      <c r="K101">
        <v>0.15</v>
      </c>
      <c r="L101">
        <v>4159.05</v>
      </c>
      <c r="M101">
        <v>484.02</v>
      </c>
      <c r="N101" t="s">
        <v>38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abSelected="1" workbookViewId="0">
      <selection activeCell="P40" sqref="P39:Q40"/>
    </sheetView>
  </sheetViews>
  <sheetFormatPr defaultRowHeight="14.4"/>
  <sheetData>
    <row r="1" spans="1:23">
      <c r="A1" s="3" t="s">
        <v>254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</sheetData>
  <mergeCells count="1">
    <mergeCell ref="A1:W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Sheet3</vt:lpstr>
      <vt:lpstr>Sheet4</vt:lpstr>
      <vt:lpstr>Sheet5</vt:lpstr>
      <vt:lpstr>Sheet6</vt:lpstr>
      <vt:lpstr>Sheet7</vt:lpstr>
      <vt:lpstr>Sheet8</vt:lpstr>
      <vt:lpstr>Sheet9</vt:lpstr>
      <vt:lpstr>Sales_Data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2026-09-23T03:00:13Z</dcterms:created>
  <dcterms:modified xsi:type="dcterms:W3CDTF">2026-09-23T03:46:56Z</dcterms:modified>
</cp:coreProperties>
</file>